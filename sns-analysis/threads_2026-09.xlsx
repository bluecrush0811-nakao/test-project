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稿一覧" sheetId="1" state="visible" r:id="rId3"/>
    <sheet name="カテゴリ別" sheetId="2" state="visible" r:id="rId4"/>
    <sheet name="オーディエン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<sst xmlns="http://schemas.openxmlformats.org/spreadsheetml/2006/main" count="126" uniqueCount="95">
  <si>
    <t xml:space="preserve">投稿</t>
  </si>
  <si>
    <t xml:space="preserve">カテゴリ</t>
  </si>
  <si>
    <t xml:space="preserve">投稿からの経過</t>
  </si>
  <si>
    <t xml:space="preserve">閲覧数</t>
  </si>
  <si>
    <t xml:space="preserve">いいね</t>
  </si>
  <si>
    <t xml:space="preserve">返信</t>
  </si>
  <si>
    <t xml:space="preserve">再投稿</t>
  </si>
  <si>
    <t xml:space="preserve">シェア</t>
  </si>
  <si>
    <t xml:space="preserve">反応合計</t>
  </si>
  <si>
    <t xml:space="preserve">いいね率</t>
  </si>
  <si>
    <t xml:space="preserve">反応率</t>
  </si>
  <si>
    <t xml:space="preserve">沖縄限定ガチャシリーズ</t>
  </si>
  <si>
    <t xml:space="preserve">ガチャ</t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</si>
  <si>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週間</t>
    </r>
  </si>
  <si>
    <t xml:space="preserve">人気食堂シリーズ 糸満市座波 魚太郎</t>
  </si>
  <si>
    <t xml:space="preserve">グルメ</t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</si>
  <si>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週間</t>
    </r>
  </si>
  <si>
    <t xml:space="preserve">沖縄弁当屋シリーズ</t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</si>
  <si>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週間</t>
    </r>
  </si>
  <si>
    <r>
      <rPr>
        <sz val="11"/>
        <color rgb="FF0000FF"/>
        <rFont val="WenQuanYi Zen Hei"/>
        <family val="2"/>
      </rPr>
      <t xml:space="preserve">沖縄限定お店シリーズ</t>
    </r>
    <r>
      <rPr>
        <sz val="11"/>
        <color rgb="FF0000FF"/>
        <rFont val="Arial"/>
        <family val="0"/>
        <charset val="1"/>
      </rPr>
      <t xml:space="preserve">(GRINGO TACOS)</t>
    </r>
  </si>
  <si>
    <t xml:space="preserve">お店</t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</si>
  <si>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週間</t>
    </r>
  </si>
  <si>
    <r>
      <rPr>
        <sz val="11"/>
        <color rgb="FF0000FF"/>
        <rFont val="WenQuanYi Zen Hei"/>
        <family val="2"/>
      </rPr>
      <t xml:space="preserve">沖縄限定お店 おしゃれな店内、</t>
    </r>
    <r>
      <rPr>
        <sz val="11"/>
        <color rgb="FF0000FF"/>
        <rFont val="Arial"/>
        <family val="0"/>
        <charset val="1"/>
      </rPr>
      <t xml:space="preserve">2F</t>
    </r>
    <r>
      <rPr>
        <sz val="11"/>
        <color rgb="FF0000FF"/>
        <rFont val="WenQuanYi Zen Hei"/>
        <family val="2"/>
      </rPr>
      <t xml:space="preserve">には…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</si>
  <si>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週間</t>
    </r>
  </si>
  <si>
    <t xml:space="preserve">沖縄 伝統芸能シリーズ</t>
  </si>
  <si>
    <t xml:space="preserve">伝統芸能</t>
  </si>
  <si>
    <t xml:space="preserve">沖縄限定お店シリーズ</t>
  </si>
  <si>
    <t xml:space="preserve">沖縄限定路上販売シリーズ</t>
  </si>
  <si>
    <t xml:space="preserve">レア・珍スポット</t>
  </si>
  <si>
    <t xml:space="preserve">レア自動販売シリーズ ドライブ中にお漏らし</t>
  </si>
  <si>
    <t xml:space="preserve">レアなテーマパークシリーズ</t>
  </si>
  <si>
    <t xml:space="preserve">沖縄限定レアたまごシリーズ</t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</si>
  <si>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日</t>
    </r>
  </si>
  <si>
    <r>
      <rPr>
        <sz val="11"/>
        <color rgb="FF0000FF"/>
        <rFont val="WenQuanYi Zen Hei"/>
        <family val="2"/>
      </rPr>
      <t xml:space="preserve">沖縄限定お店シリーズ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最新</t>
    </r>
    <r>
      <rPr>
        <sz val="11"/>
        <color rgb="FF0000FF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</si>
  <si>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時間</t>
    </r>
  </si>
  <si>
    <t xml:space="preserve">沖縄限定居酒屋シリーズ</t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</si>
  <si>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日</t>
    </r>
  </si>
  <si>
    <t xml:space="preserve">合計</t>
  </si>
  <si>
    <r>
      <rPr>
        <i val="true"/>
        <sz val="11"/>
        <color rgb="FF808080"/>
        <rFont val="WenQuanYi Zen Hei"/>
        <family val="2"/>
      </rPr>
      <t xml:space="preserve">出典</t>
    </r>
    <r>
      <rPr>
        <i val="true"/>
        <sz val="11"/>
        <color rgb="FF808080"/>
        <rFont val="Arial"/>
        <family val="0"/>
        <charset val="1"/>
      </rPr>
      <t xml:space="preserve">: Threads </t>
    </r>
    <r>
      <rPr>
        <i val="true"/>
        <sz val="11"/>
        <color rgb="FF808080"/>
        <rFont val="WenQuanYi Zen Hei"/>
        <family val="2"/>
      </rPr>
      <t xml:space="preserve">インサイト画面</t>
    </r>
    <r>
      <rPr>
        <i val="true"/>
        <sz val="11"/>
        <color rgb="FF808080"/>
        <rFont val="Arial"/>
        <family val="0"/>
        <charset val="1"/>
      </rPr>
      <t xml:space="preserve">(</t>
    </r>
    <r>
      <rPr>
        <i val="true"/>
        <sz val="11"/>
        <color rgb="FF808080"/>
        <rFont val="WenQuanYi Zen Hei"/>
        <family val="2"/>
      </rPr>
      <t xml:space="preserve">ユーザー提供のスクリーンショット、</t>
    </r>
    <r>
      <rPr>
        <i val="true"/>
        <sz val="11"/>
        <color rgb="FF808080"/>
        <rFont val="Arial"/>
        <family val="0"/>
        <charset val="1"/>
      </rPr>
      <t xml:space="preserve">2026/09/24 </t>
    </r>
    <r>
      <rPr>
        <i val="true"/>
        <sz val="11"/>
        <color rgb="FF808080"/>
        <rFont val="WenQuanYi Zen Hei"/>
        <family val="2"/>
      </rPr>
      <t xml:space="preserve">時点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</si>
  <si>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i val="true"/>
        <sz val="11"/>
        <color rgb="FF808080"/>
        <rFont val="WenQuanYi Zen Hei"/>
        <family val="2"/>
      </rPr>
      <t xml:space="preserve">※ 閲覧数上位</t>
    </r>
    <r>
      <rPr>
        <i val="true"/>
        <sz val="11"/>
        <color rgb="FF808080"/>
        <rFont val="Arial"/>
        <family val="0"/>
        <charset val="1"/>
      </rPr>
      <t xml:space="preserve">12</t>
    </r>
    <r>
      <rPr>
        <i val="true"/>
        <sz val="11"/>
        <color rgb="FF808080"/>
        <rFont val="WenQuanYi Zen Hei"/>
        <family val="2"/>
      </rPr>
      <t xml:space="preserve">件</t>
    </r>
    <r>
      <rPr>
        <i val="true"/>
        <sz val="11"/>
        <color rgb="FF808080"/>
        <rFont val="Arial"/>
        <family val="0"/>
        <charset val="1"/>
      </rPr>
      <t xml:space="preserve">(90</t>
    </r>
    <r>
      <rPr>
        <i val="true"/>
        <sz val="11"/>
        <color rgb="FF808080"/>
        <rFont val="WenQuanYi Zen Hei"/>
        <family val="2"/>
      </rPr>
      <t xml:space="preserve">日間</t>
    </r>
    <r>
      <rPr>
        <i val="true"/>
        <sz val="11"/>
        <color rgb="FF808080"/>
        <rFont val="Arial"/>
        <family val="0"/>
        <charset val="1"/>
      </rPr>
      <t xml:space="preserve">)+</t>
    </r>
    <r>
      <rPr>
        <i val="true"/>
        <sz val="11"/>
        <color rgb="FF808080"/>
        <rFont val="WenQuanYi Zen Hei"/>
        <family val="2"/>
      </rPr>
      <t xml:space="preserve">最新投稿</t>
    </r>
    <r>
      <rPr>
        <i val="true"/>
        <sz val="11"/>
        <color rgb="FF808080"/>
        <rFont val="Arial"/>
        <family val="0"/>
        <charset val="1"/>
      </rPr>
      <t xml:space="preserve">2</t>
    </r>
    <r>
      <rPr>
        <i val="true"/>
        <sz val="11"/>
        <color rgb="FF808080"/>
        <rFont val="WenQuanYi Zen Hei"/>
        <family val="2"/>
      </rPr>
      <t xml:space="preserve">件。カテゴリは投稿タイトルから分類。青字</t>
    </r>
    <r>
      <rPr>
        <i val="true"/>
        <sz val="11"/>
        <color rgb="FF808080"/>
        <rFont val="Arial"/>
        <family val="0"/>
        <charset val="1"/>
      </rPr>
      <t xml:space="preserve">=</t>
    </r>
    <r>
      <rPr>
        <i val="true"/>
        <sz val="11"/>
        <color rgb="FF808080"/>
        <rFont val="WenQuanYi Zen Hei"/>
        <family val="2"/>
      </rPr>
      <t xml:space="preserve">転記した値、黒字</t>
    </r>
    <r>
      <rPr>
        <i val="true"/>
        <sz val="11"/>
        <color rgb="FF808080"/>
        <rFont val="Arial"/>
        <family val="0"/>
        <charset val="1"/>
      </rPr>
      <t xml:space="preserve">=</t>
    </r>
    <r>
      <rPr>
        <i val="true"/>
        <sz val="11"/>
        <color rgb="FF808080"/>
        <rFont val="WenQuanYi Zen Hei"/>
        <family val="2"/>
      </rPr>
      <t xml:space="preserve">計算式。</t>
    </r>
  </si>
  <si>
    <t xml:space="preserve">カテゴリ別の成績</t>
  </si>
  <si>
    <t xml:space="preserve">投稿数</t>
  </si>
  <si>
    <t xml:space="preserve">閲覧数合計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</si>
  <si>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投稿あたり閲覧数</t>
    </r>
  </si>
  <si>
    <t xml:space="preserve">いいね合計</t>
  </si>
  <si>
    <t xml:space="preserve">返信合計</t>
  </si>
  <si>
    <r>
      <rPr>
        <b val="true"/>
        <sz val="14"/>
        <rFont val="WenQuanYi Zen Hei"/>
        <family val="2"/>
      </rPr>
      <t xml:space="preserve">オーディエンス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直近</t>
    </r>
    <r>
      <rPr>
        <b val="true"/>
        <sz val="14"/>
        <rFont val="Arial"/>
        <family val="0"/>
        <charset val="1"/>
      </rPr>
      <t xml:space="preserve">30</t>
    </r>
    <r>
      <rPr>
        <b val="true"/>
        <sz val="14"/>
        <rFont val="WenQuanYi Zen Hei"/>
        <family val="2"/>
      </rPr>
      <t xml:space="preserve">日</t>
    </r>
    <r>
      <rPr>
        <b val="true"/>
        <sz val="14"/>
        <rFont val="Arial"/>
        <family val="0"/>
        <charset val="1"/>
      </rPr>
      <t xml:space="preserve">: 8/26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9/24)</t>
    </r>
  </si>
  <si>
    <t xml:space="preserve">概要</t>
  </si>
  <si>
    <t xml:space="preserve">指標</t>
  </si>
  <si>
    <t xml:space="preserve">値</t>
  </si>
  <si>
    <t xml:space="preserve">閲覧者</t>
  </si>
  <si>
    <t xml:space="preserve">閲覧者のうちフォロワー</t>
  </si>
  <si>
    <t xml:space="preserve">純フォロワー増</t>
  </si>
  <si>
    <t xml:space="preserve">閲覧数の前期比</t>
  </si>
  <si>
    <t xml:space="preserve">閲覧者の前期比</t>
  </si>
  <si>
    <t xml:space="preserve">年齢</t>
  </si>
  <si>
    <t xml:space="preserve">割合</t>
  </si>
  <si>
    <t xml:space="preserve">13-17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</si>
  <si>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</si>
  <si>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</si>
  <si>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</si>
  <si>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</si>
  <si>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</si>
  <si>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65+</t>
  </si>
  <si>
    <t xml:space="preserve">性別</t>
  </si>
  <si>
    <t xml:space="preserve">女性</t>
  </si>
  <si>
    <t xml:space="preserve">男性</t>
  </si>
  <si>
    <t xml:space="preserve">その他・不明</t>
  </si>
  <si>
    <r>
      <rPr>
        <b val="true"/>
        <sz val="11"/>
        <rFont val="WenQuanYi Zen Hei"/>
        <family val="2"/>
      </rPr>
      <t xml:space="preserve">市区町村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上位</t>
    </r>
    <r>
      <rPr>
        <b val="true"/>
        <sz val="11"/>
        <rFont val="Arial"/>
        <family val="0"/>
        <charset val="1"/>
      </rPr>
      <t xml:space="preserve">5)</t>
    </r>
  </si>
  <si>
    <t xml:space="preserve">市区町村</t>
  </si>
  <si>
    <t xml:space="preserve">那覇市</t>
  </si>
  <si>
    <t xml:space="preserve">沖縄市</t>
  </si>
  <si>
    <t xml:space="preserve">宜野湾市</t>
  </si>
  <si>
    <t xml:space="preserve">島尻郡</t>
  </si>
  <si>
    <t xml:space="preserve">浦添市</t>
  </si>
  <si>
    <r>
      <rPr>
        <b val="true"/>
        <sz val="11"/>
        <rFont val="WenQuanYi Zen Hei"/>
        <family val="2"/>
      </rPr>
      <t xml:space="preserve">国・地域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上位</t>
    </r>
    <r>
      <rPr>
        <b val="true"/>
        <sz val="11"/>
        <rFont val="Arial"/>
        <family val="0"/>
        <charset val="1"/>
      </rPr>
      <t xml:space="preserve">5)</t>
    </r>
  </si>
  <si>
    <t xml:space="preserve">国・地域</t>
  </si>
  <si>
    <t xml:space="preserve">日本</t>
  </si>
  <si>
    <t xml:space="preserve">台湾</t>
  </si>
  <si>
    <t xml:space="preserve">香港</t>
  </si>
  <si>
    <t xml:space="preserve">アメリカ合衆国</t>
  </si>
  <si>
    <t xml:space="preserve">韓国</t>
  </si>
  <si>
    <t xml:space="preserve">興味・関心</t>
  </si>
  <si>
    <t xml:space="preserve">コミュニティ</t>
  </si>
  <si>
    <t xml:space="preserve">人数</t>
  </si>
  <si>
    <t xml:space="preserve">沖縄</t>
  </si>
  <si>
    <t xml:space="preserve">Cats of Threads</t>
  </si>
  <si>
    <t xml:space="preserve">旅行</t>
  </si>
  <si>
    <t xml:space="preserve">筋トレ</t>
  </si>
  <si>
    <t xml:space="preserve">沖縄グルメ</t>
  </si>
  <si>
    <r>
      <rPr>
        <b val="true"/>
        <sz val="11"/>
        <rFont val="WenQuanYi Zen Hei"/>
        <family val="2"/>
      </rPr>
      <t xml:space="preserve">最もアクティブな時間</t>
    </r>
    <r>
      <rPr>
        <b val="true"/>
        <sz val="11"/>
        <rFont val="Arial"/>
        <family val="0"/>
        <charset val="1"/>
      </rPr>
      <t xml:space="preserve">(JST)</t>
    </r>
  </si>
  <si>
    <t xml:space="preserve">曜日・時間</t>
  </si>
  <si>
    <r>
      <rPr>
        <sz val="11"/>
        <rFont val="WenQuanYi Zen Hei"/>
        <family val="2"/>
      </rPr>
      <t xml:space="preserve">水曜 </t>
    </r>
    <r>
      <rPr>
        <sz val="11"/>
        <rFont val="Arial"/>
        <family val="0"/>
        <charset val="1"/>
      </rPr>
      <t xml:space="preserve">21</t>
    </r>
    <r>
      <rPr>
        <sz val="11"/>
        <rFont val="WenQuanYi Zen Hei"/>
        <family val="2"/>
      </rPr>
      <t xml:space="preserve">時〜</t>
    </r>
    <r>
      <rPr>
        <sz val="11"/>
        <rFont val="Arial"/>
        <family val="0"/>
        <charset val="1"/>
      </rPr>
      <t xml:space="preserve">24</t>
    </r>
    <r>
      <rPr>
        <sz val="11"/>
        <rFont val="WenQuanYi Zen Hei"/>
        <family val="2"/>
      </rPr>
      <t xml:space="preserve">時</t>
    </r>
  </si>
  <si>
    <r>
      <rPr>
        <sz val="11"/>
        <rFont val="WenQuanYi Zen Hei"/>
        <family val="2"/>
      </rPr>
      <t xml:space="preserve">火曜 </t>
    </r>
    <r>
      <rPr>
        <sz val="11"/>
        <rFont val="Arial"/>
        <family val="0"/>
        <charset val="1"/>
      </rPr>
      <t xml:space="preserve">21</t>
    </r>
    <r>
      <rPr>
        <sz val="11"/>
        <rFont val="WenQuanYi Zen Hei"/>
        <family val="2"/>
      </rPr>
      <t xml:space="preserve">時〜</t>
    </r>
    <r>
      <rPr>
        <sz val="11"/>
        <rFont val="Arial"/>
        <family val="0"/>
        <charset val="1"/>
      </rPr>
      <t xml:space="preserve">24</t>
    </r>
    <r>
      <rPr>
        <sz val="11"/>
        <rFont val="WenQuanYi Zen Hei"/>
        <family val="2"/>
      </rPr>
      <t xml:space="preserve">時</t>
    </r>
  </si>
  <si>
    <r>
      <rPr>
        <sz val="11"/>
        <rFont val="WenQuanYi Zen Hei"/>
        <family val="2"/>
      </rPr>
      <t xml:space="preserve">月曜 </t>
    </r>
    <r>
      <rPr>
        <sz val="11"/>
        <rFont val="Arial"/>
        <family val="0"/>
        <charset val="1"/>
      </rPr>
      <t xml:space="preserve">21</t>
    </r>
    <r>
      <rPr>
        <sz val="11"/>
        <rFont val="WenQuanYi Zen Hei"/>
        <family val="2"/>
      </rPr>
      <t xml:space="preserve">時〜</t>
    </r>
    <r>
      <rPr>
        <sz val="11"/>
        <rFont val="Arial"/>
        <family val="0"/>
        <charset val="1"/>
      </rPr>
      <t xml:space="preserve">24</t>
    </r>
    <r>
      <rPr>
        <sz val="11"/>
        <rFont val="WenQuanYi Zen Hei"/>
        <family val="2"/>
      </rPr>
      <t xml:space="preserve">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</si>
</sst>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\+#,##0"/>
    <numFmt numFmtId="169" formatCode="\+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sz val="11"/>
      <color rgb="FF0000FF"/>
      <name val="WenQuanYi Zen Hei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  <font>
      <b val="true"/>
      <sz val="14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name val="WenQuanYi Zen Hei"/>
      <family val="2"/>
    </font>
    <font>
      <sz val="11"/>
      <color rgb="FF008000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カテゴリ別 1投稿あたり閲覧数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カテゴリ別!D3</c:f>
              <c:strCache>
                <c:ptCount val="1"/>
                <c:pt idx="0">
                  <c:v>1投稿あたり閲覧数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カテゴリ別!$A$4:$A$8</c:f>
              <c:strCache>
                <c:ptCount val="5"/>
                <c:pt idx="0">
                  <c:v>ガチャ</c:v>
                </c:pt>
                <c:pt idx="1">
                  <c:v>グルメ</c:v>
                </c:pt>
                <c:pt idx="2">
                  <c:v>お店</c:v>
                </c:pt>
                <c:pt idx="3">
                  <c:v>伝統芸能</c:v>
                </c:pt>
                <c:pt idx="4">
                  <c:v>レア・珍スポット</c:v>
                </c:pt>
              </c:strCache>
            </c:strRef>
          </c:cat>
          <c:val>
            <c:numRef>
              <c:f>カテゴリ別!$D$4:$D$8</c:f>
              <c:numCache>
                <c:formatCode>#,##0</c:formatCode>
                <c:ptCount val="5"/>
                <c:pt idx="0">
                  <c:v>4374</c:v>
                </c:pt>
                <c:pt idx="1">
                  <c:v>1865.5</c:v>
                </c:pt>
                <c:pt idx="2">
                  <c:v>1051.25</c:v>
                </c:pt>
                <c:pt idx="3">
                  <c:v>909.5</c:v>
                </c:pt>
                <c:pt idx="4">
                  <c:v>872</c:v>
                </c:pt>
              </c:numCache>
            </c:numRef>
          </c:val>
        </c:ser>
        <c:gapWidth val="150"/>
        <c:overlap val="0"/>
        <c:axId val="8399215"/>
        <c:axId val="38452670"/>
      </c:barChart>
      <c:catAx>
        <c:axId val="839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52670"/>
        <c:crosses val="autoZero"/>
        <c:auto val="1"/>
        <c:lblAlgn val="ctr"/>
        <c:lblOffset val="100"/>
        <c:noMultiLvlLbl val="0"/>
      </c:catAx>
      <c:valAx>
        <c:axId val="38452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9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カテゴリ別 いいね率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カテゴリ別!F3</c:f>
              <c:strCache>
                <c:ptCount val="1"/>
                <c:pt idx="0">
                  <c:v>いいね率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カテゴリ別!$A$4:$A$8</c:f>
              <c:strCache>
                <c:ptCount val="5"/>
                <c:pt idx="0">
                  <c:v>ガチャ</c:v>
                </c:pt>
                <c:pt idx="1">
                  <c:v>グルメ</c:v>
                </c:pt>
                <c:pt idx="2">
                  <c:v>お店</c:v>
                </c:pt>
                <c:pt idx="3">
                  <c:v>伝統芸能</c:v>
                </c:pt>
                <c:pt idx="4">
                  <c:v>レア・珍スポット</c:v>
                </c:pt>
              </c:strCache>
            </c:strRef>
          </c:cat>
          <c:val>
            <c:numRef>
              <c:f>カテゴリ別!$F$4:$F$8</c:f>
              <c:numCache>
                <c:formatCode>0.00%</c:formatCode>
                <c:ptCount val="5"/>
                <c:pt idx="0">
                  <c:v>0.00960219478737997</c:v>
                </c:pt>
                <c:pt idx="1">
                  <c:v>0.00495845617796837</c:v>
                </c:pt>
                <c:pt idx="2">
                  <c:v>0.00927467300832342</c:v>
                </c:pt>
                <c:pt idx="3">
                  <c:v>0.0192413413963716</c:v>
                </c:pt>
                <c:pt idx="4">
                  <c:v>0.00917431192660551</c:v>
                </c:pt>
              </c:numCache>
            </c:numRef>
          </c:val>
        </c:ser>
        <c:gapWidth val="150"/>
        <c:overlap val="0"/>
        <c:axId val="87000692"/>
        <c:axId val="74238707"/>
      </c:barChart>
      <c:catAx>
        <c:axId val="87000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38707"/>
        <c:crosses val="autoZero"/>
        <c:auto val="1"/>
        <c:lblAlgn val="ctr"/>
        <c:lblOffset val="100"/>
        <c:noMultiLvlLbl val="0"/>
      </c:catAx>
      <c:valAx>
        <c:axId val="742387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006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14</xdr:col>
      <xdr:colOff>486720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849312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160560</xdr:rowOff>
    </xdr:from>
    <xdr:to>
      <xdr:col>14</xdr:col>
      <xdr:colOff>486720</xdr:colOff>
      <xdr:row>31</xdr:row>
      <xdr:rowOff>13320</xdr:rowOff>
    </xdr:to>
    <xdr:graphicFrame>
      <xdr:nvGraphicFramePr>
        <xdr:cNvPr id="1" name="Chart 2"/>
        <xdr:cNvGraphicFramePr/>
      </xdr:nvGraphicFramePr>
      <xdr:xfrm>
        <a:off x="8493120" y="34290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8" min="5" style="0" width="8"/>
    <col collapsed="false" customWidth="true" hidden="false" outlineLevel="0" max="11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s">
        <v>13</v>
      </c>
      <c r="D2" s="4" t="n">
        <v>4374</v>
      </c>
      <c r="E2" s="4" t="n">
        <v>42</v>
      </c>
      <c r="F2" s="4" t="n">
        <v>0</v>
      </c>
      <c r="G2" s="4" t="n">
        <v>0</v>
      </c>
      <c r="H2" s="4" t="n">
        <v>0</v>
      </c>
      <c r="I2" s="5" t="n">
        <f aca="false">SUM(E2:H2)</f>
        <v>42</v>
      </c>
      <c r="J2" s="6" t="n">
        <f aca="false">IF(D2=0,0,E2/D2)</f>
        <v>0.00960219478737997</v>
      </c>
      <c r="K2" s="6" t="n">
        <f aca="false">IF(D2=0,0,I2/D2)</f>
        <v>0.00960219478737997</v>
      </c>
    </row>
    <row r="3" customFormat="false" ht="15" hidden="false" customHeight="false" outlineLevel="0" collapsed="false">
      <c r="A3" s="2" t="s">
        <v>14</v>
      </c>
      <c r="B3" s="2" t="s">
        <v>15</v>
      </c>
      <c r="C3" s="3" t="s">
        <v>16</v>
      </c>
      <c r="D3" s="4" t="n">
        <v>3262</v>
      </c>
      <c r="E3" s="4" t="n">
        <v>25</v>
      </c>
      <c r="F3" s="4" t="n">
        <v>0</v>
      </c>
      <c r="G3" s="4" t="n">
        <v>1</v>
      </c>
      <c r="H3" s="4" t="n">
        <v>0</v>
      </c>
      <c r="I3" s="5" t="n">
        <f aca="false">SUM(E3:H3)</f>
        <v>26</v>
      </c>
      <c r="J3" s="6" t="n">
        <f aca="false">IF(D3=0,0,E3/D3)</f>
        <v>0.00766400980993256</v>
      </c>
      <c r="K3" s="6" t="n">
        <f aca="false">IF(D3=0,0,I3/D3)</f>
        <v>0.00797057020232986</v>
      </c>
    </row>
    <row r="4" customFormat="false" ht="15" hidden="false" customHeight="false" outlineLevel="0" collapsed="false">
      <c r="A4" s="2" t="s">
        <v>17</v>
      </c>
      <c r="B4" s="2" t="s">
        <v>15</v>
      </c>
      <c r="C4" s="3" t="s">
        <v>18</v>
      </c>
      <c r="D4" s="4" t="n">
        <v>3236</v>
      </c>
      <c r="E4" s="4" t="n">
        <v>11</v>
      </c>
      <c r="F4" s="4" t="n">
        <v>0</v>
      </c>
      <c r="G4" s="4" t="n">
        <v>0</v>
      </c>
      <c r="H4" s="4" t="n">
        <v>0</v>
      </c>
      <c r="I4" s="5" t="n">
        <f aca="false">SUM(E4:H4)</f>
        <v>11</v>
      </c>
      <c r="J4" s="6" t="n">
        <f aca="false">IF(D4=0,0,E4/D4)</f>
        <v>0.00339925834363412</v>
      </c>
      <c r="K4" s="6" t="n">
        <f aca="false">IF(D4=0,0,I4/D4)</f>
        <v>0.00339925834363412</v>
      </c>
    </row>
    <row r="5" customFormat="false" ht="15" hidden="false" customHeight="false" outlineLevel="0" collapsed="false">
      <c r="A5" s="2" t="s">
        <v>19</v>
      </c>
      <c r="B5" s="2" t="s">
        <v>20</v>
      </c>
      <c r="C5" s="3" t="s">
        <v>21</v>
      </c>
      <c r="D5" s="4" t="n">
        <v>1496</v>
      </c>
      <c r="E5" s="4" t="n">
        <v>3</v>
      </c>
      <c r="F5" s="4" t="n">
        <v>1</v>
      </c>
      <c r="G5" s="4" t="n">
        <v>1</v>
      </c>
      <c r="H5" s="4" t="n">
        <v>0</v>
      </c>
      <c r="I5" s="5" t="n">
        <f aca="false">SUM(E5:H5)</f>
        <v>5</v>
      </c>
      <c r="J5" s="6" t="n">
        <f aca="false">IF(D5=0,0,E5/D5)</f>
        <v>0.00200534759358289</v>
      </c>
      <c r="K5" s="6" t="n">
        <f aca="false">IF(D5=0,0,I5/D5)</f>
        <v>0.00334224598930481</v>
      </c>
    </row>
    <row r="6" customFormat="false" ht="15" hidden="false" customHeight="false" outlineLevel="0" collapsed="false">
      <c r="A6" s="2" t="s">
        <v>22</v>
      </c>
      <c r="B6" s="2" t="s">
        <v>20</v>
      </c>
      <c r="C6" s="3" t="s">
        <v>23</v>
      </c>
      <c r="D6" s="4" t="n">
        <v>1408</v>
      </c>
      <c r="E6" s="4" t="n">
        <v>22</v>
      </c>
      <c r="F6" s="4" t="n">
        <v>0</v>
      </c>
      <c r="G6" s="4" t="n">
        <v>0</v>
      </c>
      <c r="H6" s="4" t="n">
        <v>0</v>
      </c>
      <c r="I6" s="5" t="n">
        <f aca="false">SUM(E6:H6)</f>
        <v>22</v>
      </c>
      <c r="J6" s="6" t="n">
        <f aca="false">IF(D6=0,0,E6/D6)</f>
        <v>0.015625</v>
      </c>
      <c r="K6" s="6" t="n">
        <f aca="false">IF(D6=0,0,I6/D6)</f>
        <v>0.015625</v>
      </c>
    </row>
    <row r="7" customFormat="false" ht="15" hidden="false" customHeight="false" outlineLevel="0" collapsed="false">
      <c r="A7" s="2" t="s">
        <v>24</v>
      </c>
      <c r="B7" s="2" t="s">
        <v>25</v>
      </c>
      <c r="C7" s="3" t="s">
        <v>21</v>
      </c>
      <c r="D7" s="4" t="n">
        <v>1130</v>
      </c>
      <c r="E7" s="4" t="n">
        <v>29</v>
      </c>
      <c r="F7" s="4" t="n">
        <v>0</v>
      </c>
      <c r="G7" s="4" t="n">
        <v>1</v>
      </c>
      <c r="H7" s="4" t="n">
        <v>0</v>
      </c>
      <c r="I7" s="5" t="n">
        <f aca="false">SUM(E7:H7)</f>
        <v>30</v>
      </c>
      <c r="J7" s="6" t="n">
        <f aca="false">IF(D7=0,0,E7/D7)</f>
        <v>0.0256637168141593</v>
      </c>
      <c r="K7" s="6" t="n">
        <f aca="false">IF(D7=0,0,I7/D7)</f>
        <v>0.0265486725663717</v>
      </c>
    </row>
    <row r="8" customFormat="false" ht="15" hidden="false" customHeight="false" outlineLevel="0" collapsed="false">
      <c r="A8" s="2" t="s">
        <v>26</v>
      </c>
      <c r="B8" s="2" t="s">
        <v>20</v>
      </c>
      <c r="C8" s="3" t="s">
        <v>16</v>
      </c>
      <c r="D8" s="4" t="n">
        <v>1124</v>
      </c>
      <c r="E8" s="4" t="n">
        <v>14</v>
      </c>
      <c r="F8" s="4" t="n">
        <v>0</v>
      </c>
      <c r="G8" s="4" t="n">
        <v>0</v>
      </c>
      <c r="H8" s="4" t="n">
        <v>0</v>
      </c>
      <c r="I8" s="5" t="n">
        <f aca="false">SUM(E8:H8)</f>
        <v>14</v>
      </c>
      <c r="J8" s="6" t="n">
        <f aca="false">IF(D8=0,0,E8/D8)</f>
        <v>0.0124555160142349</v>
      </c>
      <c r="K8" s="6" t="n">
        <f aca="false">IF(D8=0,0,I8/D8)</f>
        <v>0.0124555160142349</v>
      </c>
    </row>
    <row r="9" customFormat="false" ht="15" hidden="false" customHeight="false" outlineLevel="0" collapsed="false">
      <c r="A9" s="2" t="s">
        <v>27</v>
      </c>
      <c r="B9" s="2" t="s">
        <v>28</v>
      </c>
      <c r="C9" s="3" t="s">
        <v>18</v>
      </c>
      <c r="D9" s="4" t="n">
        <v>942</v>
      </c>
      <c r="E9" s="4" t="n">
        <v>6</v>
      </c>
      <c r="F9" s="4" t="n">
        <v>0</v>
      </c>
      <c r="G9" s="4" t="n">
        <v>0</v>
      </c>
      <c r="H9" s="4" t="n">
        <v>0</v>
      </c>
      <c r="I9" s="5" t="n">
        <f aca="false">SUM(E9:H9)</f>
        <v>6</v>
      </c>
      <c r="J9" s="6" t="n">
        <f aca="false">IF(D9=0,0,E9/D9)</f>
        <v>0.00636942675159236</v>
      </c>
      <c r="K9" s="6" t="n">
        <f aca="false">IF(D9=0,0,I9/D9)</f>
        <v>0.00636942675159236</v>
      </c>
    </row>
    <row r="10" customFormat="false" ht="15" hidden="false" customHeight="false" outlineLevel="0" collapsed="false">
      <c r="A10" s="2" t="s">
        <v>29</v>
      </c>
      <c r="B10" s="2" t="s">
        <v>28</v>
      </c>
      <c r="C10" s="3" t="s">
        <v>23</v>
      </c>
      <c r="D10" s="4" t="n">
        <v>886</v>
      </c>
      <c r="E10" s="4" t="n">
        <v>11</v>
      </c>
      <c r="F10" s="4" t="n">
        <v>1</v>
      </c>
      <c r="G10" s="4" t="n">
        <v>0</v>
      </c>
      <c r="H10" s="4" t="n">
        <v>0</v>
      </c>
      <c r="I10" s="5" t="n">
        <f aca="false">SUM(E10:H10)</f>
        <v>12</v>
      </c>
      <c r="J10" s="6" t="n">
        <f aca="false">IF(D10=0,0,E10/D10)</f>
        <v>0.0124153498871332</v>
      </c>
      <c r="K10" s="6" t="n">
        <f aca="false">IF(D10=0,0,I10/D10)</f>
        <v>0.0135440180586907</v>
      </c>
    </row>
    <row r="11" customFormat="false" ht="15" hidden="false" customHeight="false" outlineLevel="0" collapsed="false">
      <c r="A11" s="2" t="s">
        <v>30</v>
      </c>
      <c r="B11" s="2" t="s">
        <v>28</v>
      </c>
      <c r="C11" s="3" t="s">
        <v>16</v>
      </c>
      <c r="D11" s="4" t="n">
        <v>788</v>
      </c>
      <c r="E11" s="4" t="n">
        <v>7</v>
      </c>
      <c r="F11" s="4" t="n">
        <v>3</v>
      </c>
      <c r="G11" s="4" t="n">
        <v>0</v>
      </c>
      <c r="H11" s="4" t="n">
        <v>0</v>
      </c>
      <c r="I11" s="5" t="n">
        <f aca="false">SUM(E11:H11)</f>
        <v>10</v>
      </c>
      <c r="J11" s="6" t="n">
        <f aca="false">IF(D11=0,0,E11/D11)</f>
        <v>0.00888324873096447</v>
      </c>
      <c r="K11" s="6" t="n">
        <f aca="false">IF(D11=0,0,I11/D11)</f>
        <v>0.0126903553299492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3" t="s">
        <v>21</v>
      </c>
      <c r="D12" s="4" t="n">
        <v>689</v>
      </c>
      <c r="E12" s="4" t="n">
        <v>6</v>
      </c>
      <c r="F12" s="4" t="n">
        <v>0</v>
      </c>
      <c r="G12" s="4" t="n">
        <v>0</v>
      </c>
      <c r="H12" s="4" t="n">
        <v>0</v>
      </c>
      <c r="I12" s="5" t="n">
        <f aca="false">SUM(E12:H12)</f>
        <v>6</v>
      </c>
      <c r="J12" s="6" t="n">
        <f aca="false">IF(D12=0,0,E12/D12)</f>
        <v>0.00870827285921626</v>
      </c>
      <c r="K12" s="6" t="n">
        <f aca="false">IF(D12=0,0,I12/D12)</f>
        <v>0.00870827285921626</v>
      </c>
    </row>
    <row r="13" customFormat="false" ht="15" hidden="false" customHeight="false" outlineLevel="0" collapsed="false">
      <c r="A13" s="2" t="s">
        <v>31</v>
      </c>
      <c r="B13" s="2" t="s">
        <v>15</v>
      </c>
      <c r="C13" s="3" t="s">
        <v>32</v>
      </c>
      <c r="D13" s="4" t="n">
        <v>677</v>
      </c>
      <c r="E13" s="4" t="n">
        <v>1</v>
      </c>
      <c r="F13" s="4" t="n">
        <v>0</v>
      </c>
      <c r="G13" s="4" t="n">
        <v>0</v>
      </c>
      <c r="H13" s="4" t="n">
        <v>0</v>
      </c>
      <c r="I13" s="5" t="n">
        <f aca="false">SUM(E13:H13)</f>
        <v>1</v>
      </c>
      <c r="J13" s="6" t="n">
        <f aca="false">IF(D13=0,0,E13/D13)</f>
        <v>0.00147710487444609</v>
      </c>
      <c r="K13" s="6" t="n">
        <f aca="false">IF(D13=0,0,I13/D13)</f>
        <v>0.00147710487444609</v>
      </c>
    </row>
    <row r="14" customFormat="false" ht="15" hidden="false" customHeight="false" outlineLevel="0" collapsed="false">
      <c r="A14" s="2" t="s">
        <v>33</v>
      </c>
      <c r="B14" s="2" t="s">
        <v>20</v>
      </c>
      <c r="C14" s="3" t="s">
        <v>34</v>
      </c>
      <c r="D14" s="4" t="n">
        <v>177</v>
      </c>
      <c r="E14" s="4" t="n">
        <v>0</v>
      </c>
      <c r="F14" s="4" t="n">
        <v>1</v>
      </c>
      <c r="G14" s="4" t="n">
        <v>0</v>
      </c>
      <c r="H14" s="4" t="n">
        <v>0</v>
      </c>
      <c r="I14" s="5" t="n">
        <f aca="false">SUM(E14:H14)</f>
        <v>1</v>
      </c>
      <c r="J14" s="6" t="n">
        <f aca="false">IF(D14=0,0,E14/D14)</f>
        <v>0</v>
      </c>
      <c r="K14" s="6" t="n">
        <f aca="false">IF(D14=0,0,I14/D14)</f>
        <v>0.00564971751412429</v>
      </c>
    </row>
    <row r="15" customFormat="false" ht="15" hidden="false" customHeight="false" outlineLevel="0" collapsed="false">
      <c r="A15" s="2" t="s">
        <v>35</v>
      </c>
      <c r="B15" s="2" t="s">
        <v>15</v>
      </c>
      <c r="C15" s="3" t="s">
        <v>36</v>
      </c>
      <c r="D15" s="4" t="n">
        <v>287</v>
      </c>
      <c r="E15" s="4" t="n">
        <v>0</v>
      </c>
      <c r="F15" s="4" t="n">
        <v>1</v>
      </c>
      <c r="G15" s="4" t="n">
        <v>0</v>
      </c>
      <c r="H15" s="4" t="n">
        <v>0</v>
      </c>
      <c r="I15" s="5" t="n">
        <f aca="false">SUM(E15:H15)</f>
        <v>1</v>
      </c>
      <c r="J15" s="6" t="n">
        <f aca="false">IF(D15=0,0,E15/D15)</f>
        <v>0</v>
      </c>
      <c r="K15" s="6" t="n">
        <f aca="false">IF(D15=0,0,I15/D15)</f>
        <v>0.00348432055749129</v>
      </c>
    </row>
    <row r="16" customFormat="false" ht="15" hidden="false" customHeight="false" outlineLevel="0" collapsed="false">
      <c r="A16" s="7" t="s">
        <v>37</v>
      </c>
      <c r="D16" s="8" t="n">
        <f aca="false">SUM(D2:D15)</f>
        <v>20476</v>
      </c>
      <c r="E16" s="8" t="n">
        <f aca="false">SUM(E2:E15)</f>
        <v>177</v>
      </c>
      <c r="F16" s="8" t="n">
        <f aca="false">SUM(F2:F15)</f>
        <v>7</v>
      </c>
      <c r="G16" s="8" t="n">
        <f aca="false">SUM(G2:G15)</f>
        <v>3</v>
      </c>
      <c r="H16" s="8" t="n">
        <f aca="false">SUM(H2:H15)</f>
        <v>0</v>
      </c>
      <c r="I16" s="8" t="n">
        <f aca="false">SUM(I2:I15)</f>
        <v>187</v>
      </c>
      <c r="J16" s="9" t="n">
        <f aca="false">IF(D16=0,0,E16/D16)</f>
        <v>0.00864426645829264</v>
      </c>
      <c r="K16" s="9" t="n">
        <f aca="false">IF(D16=0,0,I16/D16)</f>
        <v>0.00913264309435437</v>
      </c>
    </row>
    <row r="18" customFormat="false" ht="15" hidden="false" customHeight="false" outlineLevel="0" collapsed="false">
      <c r="A18" s="10" t="s">
        <v>38</v>
      </c>
    </row>
    <row r="19" customFormat="false" ht="15" hidden="false" customHeight="false" outlineLevel="0" collapsed="false">
      <c r="A19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1" t="s">
        <v>40</v>
      </c>
    </row>
    <row r="3" customFormat="false" ht="15" hidden="false" customHeight="false" outlineLevel="0" collapsed="false">
      <c r="A3" s="1" t="s">
        <v>1</v>
      </c>
      <c r="B3" s="1" t="s">
        <v>41</v>
      </c>
      <c r="C3" s="1" t="s">
        <v>42</v>
      </c>
      <c r="D3" s="12" t="s">
        <v>43</v>
      </c>
      <c r="E3" s="1" t="s">
        <v>44</v>
      </c>
      <c r="F3" s="1" t="s">
        <v>9</v>
      </c>
      <c r="G3" s="1" t="s">
        <v>45</v>
      </c>
    </row>
    <row r="4" customFormat="false" ht="15" hidden="false" customHeight="false" outlineLevel="0" collapsed="false">
      <c r="A4" s="13" t="s">
        <v>12</v>
      </c>
      <c r="B4" s="14" t="n">
        <f aca="false">COUNTIFS(投稿一覧!$B$2:$B$15,$A4)</f>
        <v>1</v>
      </c>
      <c r="C4" s="14" t="n">
        <f aca="false">SUMIFS(投稿一覧!$D$2:$D$15,投稿一覧!$B$2:$B$15,$A4)</f>
        <v>4374</v>
      </c>
      <c r="D4" s="5" t="n">
        <f aca="false">IF(B4=0,0,C4/B4)</f>
        <v>4374</v>
      </c>
      <c r="E4" s="14" t="n">
        <f aca="false">SUMIFS(投稿一覧!$E$2:$E$15,投稿一覧!$B$2:$B$15,$A4)</f>
        <v>42</v>
      </c>
      <c r="F4" s="6" t="n">
        <f aca="false">IF(C4=0,0,E4/C4)</f>
        <v>0.00960219478737997</v>
      </c>
      <c r="G4" s="14" t="n">
        <f aca="false">SUMIFS(投稿一覧!$F$2:$F$15,投稿一覧!$B$2:$B$15,$A4)</f>
        <v>0</v>
      </c>
    </row>
    <row r="5" customFormat="false" ht="15" hidden="false" customHeight="false" outlineLevel="0" collapsed="false">
      <c r="A5" s="13" t="s">
        <v>15</v>
      </c>
      <c r="B5" s="14" t="n">
        <f aca="false">COUNTIFS(投稿一覧!$B$2:$B$15,$A5)</f>
        <v>4</v>
      </c>
      <c r="C5" s="14" t="n">
        <f aca="false">SUMIFS(投稿一覧!$D$2:$D$15,投稿一覧!$B$2:$B$15,$A5)</f>
        <v>7462</v>
      </c>
      <c r="D5" s="5" t="n">
        <f aca="false">IF(B5=0,0,C5/B5)</f>
        <v>1865.5</v>
      </c>
      <c r="E5" s="14" t="n">
        <f aca="false">SUMIFS(投稿一覧!$E$2:$E$15,投稿一覧!$B$2:$B$15,$A5)</f>
        <v>37</v>
      </c>
      <c r="F5" s="6" t="n">
        <f aca="false">IF(C5=0,0,E5/C5)</f>
        <v>0.00495845617796837</v>
      </c>
      <c r="G5" s="14" t="n">
        <f aca="false">SUMIFS(投稿一覧!$F$2:$F$15,投稿一覧!$B$2:$B$15,$A5)</f>
        <v>1</v>
      </c>
    </row>
    <row r="6" customFormat="false" ht="15" hidden="false" customHeight="false" outlineLevel="0" collapsed="false">
      <c r="A6" s="13" t="s">
        <v>20</v>
      </c>
      <c r="B6" s="14" t="n">
        <f aca="false">COUNTIFS(投稿一覧!$B$2:$B$15,$A6)</f>
        <v>4</v>
      </c>
      <c r="C6" s="14" t="n">
        <f aca="false">SUMIFS(投稿一覧!$D$2:$D$15,投稿一覧!$B$2:$B$15,$A6)</f>
        <v>4205</v>
      </c>
      <c r="D6" s="5" t="n">
        <f aca="false">IF(B6=0,0,C6/B6)</f>
        <v>1051.25</v>
      </c>
      <c r="E6" s="14" t="n">
        <f aca="false">SUMIFS(投稿一覧!$E$2:$E$15,投稿一覧!$B$2:$B$15,$A6)</f>
        <v>39</v>
      </c>
      <c r="F6" s="6" t="n">
        <f aca="false">IF(C6=0,0,E6/C6)</f>
        <v>0.00927467300832342</v>
      </c>
      <c r="G6" s="14" t="n">
        <f aca="false">SUMIFS(投稿一覧!$F$2:$F$15,投稿一覧!$B$2:$B$15,$A6)</f>
        <v>2</v>
      </c>
    </row>
    <row r="7" customFormat="false" ht="15" hidden="false" customHeight="false" outlineLevel="0" collapsed="false">
      <c r="A7" s="13" t="s">
        <v>25</v>
      </c>
      <c r="B7" s="14" t="n">
        <f aca="false">COUNTIFS(投稿一覧!$B$2:$B$15,$A7)</f>
        <v>2</v>
      </c>
      <c r="C7" s="14" t="n">
        <f aca="false">SUMIFS(投稿一覧!$D$2:$D$15,投稿一覧!$B$2:$B$15,$A7)</f>
        <v>1819</v>
      </c>
      <c r="D7" s="5" t="n">
        <f aca="false">IF(B7=0,0,C7/B7)</f>
        <v>909.5</v>
      </c>
      <c r="E7" s="14" t="n">
        <f aca="false">SUMIFS(投稿一覧!$E$2:$E$15,投稿一覧!$B$2:$B$15,$A7)</f>
        <v>35</v>
      </c>
      <c r="F7" s="6" t="n">
        <f aca="false">IF(C7=0,0,E7/C7)</f>
        <v>0.0192413413963716</v>
      </c>
      <c r="G7" s="14" t="n">
        <f aca="false">SUMIFS(投稿一覧!$F$2:$F$15,投稿一覧!$B$2:$B$15,$A7)</f>
        <v>0</v>
      </c>
    </row>
    <row r="8" customFormat="false" ht="15" hidden="false" customHeight="false" outlineLevel="0" collapsed="false">
      <c r="A8" s="13" t="s">
        <v>28</v>
      </c>
      <c r="B8" s="14" t="n">
        <f aca="false">COUNTIFS(投稿一覧!$B$2:$B$15,$A8)</f>
        <v>3</v>
      </c>
      <c r="C8" s="14" t="n">
        <f aca="false">SUMIFS(投稿一覧!$D$2:$D$15,投稿一覧!$B$2:$B$15,$A8)</f>
        <v>2616</v>
      </c>
      <c r="D8" s="5" t="n">
        <f aca="false">IF(B8=0,0,C8/B8)</f>
        <v>872</v>
      </c>
      <c r="E8" s="14" t="n">
        <f aca="false">SUMIFS(投稿一覧!$E$2:$E$15,投稿一覧!$B$2:$B$15,$A8)</f>
        <v>24</v>
      </c>
      <c r="F8" s="6" t="n">
        <f aca="false">IF(C8=0,0,E8/C8)</f>
        <v>0.00917431192660551</v>
      </c>
      <c r="G8" s="14" t="n">
        <f aca="false">SUMIFS(投稿一覧!$F$2:$F$15,投稿一覧!$B$2:$B$15,$A8)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9.4" hidden="false" customHeight="false" outlineLevel="0" collapsed="false">
      <c r="A1" s="11" t="s">
        <v>46</v>
      </c>
    </row>
    <row r="3" customFormat="false" ht="15" hidden="false" customHeight="false" outlineLevel="0" collapsed="false">
      <c r="A3" s="7" t="s">
        <v>47</v>
      </c>
    </row>
    <row r="4" customFormat="false" ht="15" hidden="false" customHeight="false" outlineLevel="0" collapsed="false">
      <c r="A4" s="1" t="s">
        <v>48</v>
      </c>
      <c r="B4" s="1" t="s">
        <v>49</v>
      </c>
    </row>
    <row r="5" customFormat="false" ht="15" hidden="false" customHeight="false" outlineLevel="0" collapsed="false">
      <c r="A5" s="15" t="s">
        <v>3</v>
      </c>
      <c r="B5" s="4" t="n">
        <v>28830</v>
      </c>
    </row>
    <row r="6" customFormat="false" ht="15" hidden="false" customHeight="false" outlineLevel="0" collapsed="false">
      <c r="A6" s="15" t="s">
        <v>50</v>
      </c>
      <c r="B6" s="4" t="n">
        <v>20520</v>
      </c>
    </row>
    <row r="7" customFormat="false" ht="15" hidden="false" customHeight="false" outlineLevel="0" collapsed="false">
      <c r="A7" s="15" t="s">
        <v>51</v>
      </c>
      <c r="B7" s="4" t="n">
        <v>12</v>
      </c>
    </row>
    <row r="8" customFormat="false" ht="15" hidden="false" customHeight="false" outlineLevel="0" collapsed="false">
      <c r="A8" s="15" t="s">
        <v>52</v>
      </c>
      <c r="B8" s="16" t="n">
        <v>12</v>
      </c>
    </row>
    <row r="9" customFormat="false" ht="15" hidden="false" customHeight="false" outlineLevel="0" collapsed="false">
      <c r="A9" s="15" t="s">
        <v>53</v>
      </c>
      <c r="B9" s="17" t="n">
        <v>3.975</v>
      </c>
    </row>
    <row r="10" customFormat="false" ht="15" hidden="false" customHeight="false" outlineLevel="0" collapsed="false">
      <c r="A10" s="15" t="s">
        <v>54</v>
      </c>
      <c r="B10" s="17" t="n">
        <v>3.563</v>
      </c>
    </row>
    <row r="12" customFormat="false" ht="15" hidden="false" customHeight="false" outlineLevel="0" collapsed="false">
      <c r="A12" s="7" t="s">
        <v>55</v>
      </c>
    </row>
    <row r="13" customFormat="false" ht="15" hidden="false" customHeight="false" outlineLevel="0" collapsed="false">
      <c r="A13" s="1" t="s">
        <v>55</v>
      </c>
      <c r="B13" s="1" t="s">
        <v>56</v>
      </c>
    </row>
    <row r="14" customFormat="false" ht="15" hidden="false" customHeight="false" outlineLevel="0" collapsed="false">
      <c r="A14" s="18" t="s">
        <v>57</v>
      </c>
      <c r="B14" s="19" t="n">
        <v>0.0011</v>
      </c>
    </row>
    <row r="15" customFormat="false" ht="15" hidden="false" customHeight="false" outlineLevel="0" collapsed="false">
      <c r="A15" s="18" t="s">
        <v>58</v>
      </c>
      <c r="B15" s="19" t="n">
        <v>0.0626</v>
      </c>
    </row>
    <row r="16" customFormat="false" ht="15" hidden="false" customHeight="false" outlineLevel="0" collapsed="false">
      <c r="A16" s="18" t="s">
        <v>59</v>
      </c>
      <c r="B16" s="19" t="n">
        <v>0.304</v>
      </c>
    </row>
    <row r="17" customFormat="false" ht="15" hidden="false" customHeight="false" outlineLevel="0" collapsed="false">
      <c r="A17" s="18" t="s">
        <v>60</v>
      </c>
      <c r="B17" s="19" t="n">
        <v>0.3361</v>
      </c>
    </row>
    <row r="18" customFormat="false" ht="15" hidden="false" customHeight="false" outlineLevel="0" collapsed="false">
      <c r="A18" s="18" t="s">
        <v>61</v>
      </c>
      <c r="B18" s="19" t="n">
        <v>0.2114</v>
      </c>
    </row>
    <row r="19" customFormat="false" ht="15" hidden="false" customHeight="false" outlineLevel="0" collapsed="false">
      <c r="A19" s="18" t="s">
        <v>62</v>
      </c>
      <c r="B19" s="19" t="n">
        <v>0.0723</v>
      </c>
    </row>
    <row r="20" customFormat="false" ht="15" hidden="false" customHeight="false" outlineLevel="0" collapsed="false">
      <c r="A20" s="18" t="s">
        <v>63</v>
      </c>
      <c r="B20" s="19" t="n">
        <v>0.0126</v>
      </c>
    </row>
    <row r="22" customFormat="false" ht="15" hidden="false" customHeight="false" outlineLevel="0" collapsed="false">
      <c r="A22" s="7" t="s">
        <v>64</v>
      </c>
    </row>
    <row r="23" customFormat="false" ht="15" hidden="false" customHeight="false" outlineLevel="0" collapsed="false">
      <c r="A23" s="1" t="s">
        <v>64</v>
      </c>
      <c r="B23" s="1" t="s">
        <v>56</v>
      </c>
    </row>
    <row r="24" customFormat="false" ht="15" hidden="false" customHeight="false" outlineLevel="0" collapsed="false">
      <c r="A24" s="15" t="s">
        <v>65</v>
      </c>
      <c r="B24" s="19" t="n">
        <v>0.3378</v>
      </c>
    </row>
    <row r="25" customFormat="false" ht="15" hidden="false" customHeight="false" outlineLevel="0" collapsed="false">
      <c r="A25" s="15" t="s">
        <v>66</v>
      </c>
      <c r="B25" s="19" t="n">
        <v>0.1597</v>
      </c>
    </row>
    <row r="26" customFormat="false" ht="15" hidden="false" customHeight="false" outlineLevel="0" collapsed="false">
      <c r="A26" s="15" t="s">
        <v>67</v>
      </c>
      <c r="B26" s="19" t="n">
        <v>0.5025</v>
      </c>
    </row>
    <row r="28" customFormat="false" ht="15" hidden="false" customHeight="false" outlineLevel="0" collapsed="false">
      <c r="A28" s="7" t="s">
        <v>68</v>
      </c>
    </row>
    <row r="29" customFormat="false" ht="15" hidden="false" customHeight="false" outlineLevel="0" collapsed="false">
      <c r="A29" s="1" t="s">
        <v>69</v>
      </c>
      <c r="B29" s="1" t="s">
        <v>56</v>
      </c>
    </row>
    <row r="30" customFormat="false" ht="15" hidden="false" customHeight="false" outlineLevel="0" collapsed="false">
      <c r="A30" s="15" t="s">
        <v>70</v>
      </c>
      <c r="B30" s="19" t="n">
        <v>0.0986</v>
      </c>
    </row>
    <row r="31" customFormat="false" ht="15" hidden="false" customHeight="false" outlineLevel="0" collapsed="false">
      <c r="A31" s="15" t="s">
        <v>71</v>
      </c>
      <c r="B31" s="19" t="n">
        <v>0.0765</v>
      </c>
    </row>
    <row r="32" customFormat="false" ht="15" hidden="false" customHeight="false" outlineLevel="0" collapsed="false">
      <c r="A32" s="15" t="s">
        <v>72</v>
      </c>
      <c r="B32" s="19" t="n">
        <v>0.0472</v>
      </c>
    </row>
    <row r="33" customFormat="false" ht="15" hidden="false" customHeight="false" outlineLevel="0" collapsed="false">
      <c r="A33" s="15" t="s">
        <v>73</v>
      </c>
      <c r="B33" s="19" t="n">
        <v>0.0328</v>
      </c>
    </row>
    <row r="34" customFormat="false" ht="15" hidden="false" customHeight="false" outlineLevel="0" collapsed="false">
      <c r="A34" s="15" t="s">
        <v>74</v>
      </c>
      <c r="B34" s="19" t="n">
        <v>0.0321</v>
      </c>
    </row>
    <row r="36" customFormat="false" ht="15" hidden="false" customHeight="false" outlineLevel="0" collapsed="false">
      <c r="A36" s="7" t="s">
        <v>75</v>
      </c>
    </row>
    <row r="37" customFormat="false" ht="15" hidden="false" customHeight="false" outlineLevel="0" collapsed="false">
      <c r="A37" s="1" t="s">
        <v>76</v>
      </c>
      <c r="B37" s="1" t="s">
        <v>56</v>
      </c>
    </row>
    <row r="38" customFormat="false" ht="15" hidden="false" customHeight="false" outlineLevel="0" collapsed="false">
      <c r="A38" s="15" t="s">
        <v>77</v>
      </c>
      <c r="B38" s="19" t="n">
        <v>0.7773</v>
      </c>
    </row>
    <row r="39" customFormat="false" ht="15" hidden="false" customHeight="false" outlineLevel="0" collapsed="false">
      <c r="A39" s="15" t="s">
        <v>78</v>
      </c>
      <c r="B39" s="19" t="n">
        <v>0.0033</v>
      </c>
    </row>
    <row r="40" customFormat="false" ht="15" hidden="false" customHeight="false" outlineLevel="0" collapsed="false">
      <c r="A40" s="15" t="s">
        <v>79</v>
      </c>
      <c r="B40" s="19" t="n">
        <v>0.0013</v>
      </c>
    </row>
    <row r="41" customFormat="false" ht="15" hidden="false" customHeight="false" outlineLevel="0" collapsed="false">
      <c r="A41" s="15" t="s">
        <v>80</v>
      </c>
      <c r="B41" s="19" t="n">
        <v>0.0012</v>
      </c>
    </row>
    <row r="42" customFormat="false" ht="15" hidden="false" customHeight="false" outlineLevel="0" collapsed="false">
      <c r="A42" s="15" t="s">
        <v>81</v>
      </c>
      <c r="B42" s="19" t="n">
        <v>0.0006</v>
      </c>
    </row>
    <row r="44" customFormat="false" ht="15" hidden="false" customHeight="false" outlineLevel="0" collapsed="false">
      <c r="A44" s="7" t="s">
        <v>82</v>
      </c>
    </row>
    <row r="45" customFormat="false" ht="15" hidden="false" customHeight="false" outlineLevel="0" collapsed="false">
      <c r="A45" s="1" t="s">
        <v>83</v>
      </c>
      <c r="B45" s="1" t="s">
        <v>84</v>
      </c>
    </row>
    <row r="46" customFormat="false" ht="15" hidden="false" customHeight="false" outlineLevel="0" collapsed="false">
      <c r="A46" s="15" t="s">
        <v>85</v>
      </c>
      <c r="B46" s="4" t="n">
        <v>215</v>
      </c>
    </row>
    <row r="47" customFormat="false" ht="15" hidden="false" customHeight="false" outlineLevel="0" collapsed="false">
      <c r="A47" s="18" t="s">
        <v>86</v>
      </c>
      <c r="B47" s="4" t="n">
        <v>40</v>
      </c>
    </row>
    <row r="48" customFormat="false" ht="15" hidden="false" customHeight="false" outlineLevel="0" collapsed="false">
      <c r="A48" s="15" t="s">
        <v>87</v>
      </c>
      <c r="B48" s="4" t="n">
        <v>35</v>
      </c>
    </row>
    <row r="49" customFormat="false" ht="15" hidden="false" customHeight="false" outlineLevel="0" collapsed="false">
      <c r="A49" s="15" t="s">
        <v>88</v>
      </c>
      <c r="B49" s="4" t="n">
        <v>33</v>
      </c>
    </row>
    <row r="50" customFormat="false" ht="15" hidden="false" customHeight="false" outlineLevel="0" collapsed="false">
      <c r="A50" s="15" t="s">
        <v>89</v>
      </c>
      <c r="B50" s="4" t="n">
        <v>28</v>
      </c>
    </row>
    <row r="52" customFormat="false" ht="15" hidden="false" customHeight="false" outlineLevel="0" collapsed="false">
      <c r="A52" s="7" t="s">
        <v>90</v>
      </c>
    </row>
    <row r="53" customFormat="false" ht="15" hidden="false" customHeight="false" outlineLevel="0" collapsed="false">
      <c r="A53" s="1" t="s">
        <v>91</v>
      </c>
      <c r="B53" s="1" t="s">
        <v>50</v>
      </c>
    </row>
    <row r="54" customFormat="false" ht="15" hidden="false" customHeight="false" outlineLevel="0" collapsed="false">
      <c r="A54" s="15" t="s">
        <v>92</v>
      </c>
      <c r="B54" s="4" t="n">
        <v>7715</v>
      </c>
    </row>
    <row r="55" customFormat="false" ht="15" hidden="false" customHeight="false" outlineLevel="0" collapsed="false">
      <c r="A55" s="15" t="s">
        <v>93</v>
      </c>
      <c r="B55" s="4" t="n">
        <v>6988</v>
      </c>
    </row>
    <row r="56" customFormat="false" ht="15" hidden="false" customHeight="false" outlineLevel="0" collapsed="false">
      <c r="A56" s="15" t="s">
        <v>94</v>
      </c>
      <c r="B56" s="4" t="n">
        <v>6573</v>
      </c>
    </row>
    <row r="58" customFormat="false" ht="15" hidden="false" customHeight="false" outlineLevel="0" collapsed="false">
      <c r="A58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2026-09-25T14:45:37Z</dcterms:created>
  <dc:creator>openpyxl</dc:creator>
  <dc:description/>
  <dc:language>en-US</dc:language>
  <cp:lastModifiedBy/>
  <dcterms:modified xsi:type="dcterms:W3CDTF">2026-09-25T14:45:49Z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