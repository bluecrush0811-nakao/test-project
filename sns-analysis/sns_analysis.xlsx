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_rels/drawing3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使い方" sheetId="1" state="visible" r:id="rId3"/>
    <sheet name="サマリー" sheetId="2" state="visible" r:id="rId4"/>
    <sheet name="投稿データ" sheetId="3" state="visible" r:id="rId5"/>
    <sheet name="フォロワー推移" sheetId="4" state="visible" r:id="rId6"/>
  </sheets>
  <definedNames>
    <definedName function="false" hidden="true" localSheetId="2" name="_xlnm._FilterDatabase" vbProcedure="false">投稿データ!$A$1:$P$500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P1" authorId="0">
      <text>
        <r>
          <rPr>
            <sz val="10"/>
            <rFont val="Arial"/>
            <family val="2"/>
          </rPr>
          <t xml:space="preserve">TOP5</t>
        </r>
        <r>
          <rPr>
            <sz val="10"/>
            <rFont val="WenQuanYi Zen Hei"/>
            <family val="2"/>
          </rPr>
          <t xml:space="preserve">抽出用の補助列です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WenQuanYi Zen Hei"/>
            <family val="2"/>
          </rPr>
          <t xml:space="preserve">エンゲージメント率</t>
        </r>
        <r>
          <rPr>
            <sz val="10"/>
            <rFont val="Arial"/>
            <family val="2"/>
          </rPr>
          <t xml:space="preserve">+</t>
        </r>
        <r>
          <rPr>
            <sz val="10"/>
            <rFont val="WenQuanYi Zen Hei"/>
            <family val="2"/>
          </rPr>
          <t xml:space="preserve">同率回避用の微小値</t>
        </r>
        <r>
          <rPr>
            <sz val="10"/>
            <rFont val="Arial"/>
            <family val="2"/>
          </rPr>
          <t xml:space="preserve">)</t>
        </r>
        <r>
          <rPr>
            <sz val="10"/>
            <rFont val="WenQuanYi Zen Hei"/>
            <family val="2"/>
          </rPr>
          <t xml:space="preserve">。編集不要。</t>
        </r>
      </text>
    </comment>
  </commentList>
</comments>
</file>

<file path=xl/sharedStrings.xml><?xml version="1.0" encoding="utf-8"?>
<sst xmlns="http://schemas.openxmlformats.org/spreadsheetml/2006/main" count="424" uniqueCount="93">
  <si>
    <r>
      <rPr>
        <b val="true"/>
        <sz val="14"/>
        <rFont val="Arial"/>
        <family val="0"/>
        <charset val="1"/>
      </rPr>
      <t xml:space="preserve">SNS</t>
    </r>
    <r>
      <rPr>
        <b val="true"/>
        <sz val="14"/>
        <rFont val="WenQuanYi Zen Hei"/>
        <family val="2"/>
      </rPr>
      <t xml:space="preserve">分析シート</t>
    </r>
    <r>
      <rPr>
        <b val="true"/>
        <sz val="14"/>
        <rFont val="Arial"/>
        <family val="0"/>
        <charset val="1"/>
      </rPr>
      <t xml:space="preserve">(X / Threads)</t>
    </r>
  </si>
  <si>
    <r>
      <rPr>
        <b val="true"/>
        <sz val="11"/>
        <color rgb="FFC00000"/>
        <rFont val="WenQuanYi Zen Hei"/>
        <family val="2"/>
      </rPr>
      <t xml:space="preserve">※ 現在入っているデータはすべてダミー</t>
    </r>
    <r>
      <rPr>
        <b val="true"/>
        <sz val="11"/>
        <color rgb="FFC00000"/>
        <rFont val="Arial"/>
        <family val="0"/>
        <charset val="1"/>
      </rPr>
      <t xml:space="preserve">(</t>
    </r>
    <r>
      <rPr>
        <b val="true"/>
        <sz val="11"/>
        <color rgb="FFC00000"/>
        <rFont val="WenQuanYi Zen Hei"/>
        <family val="2"/>
      </rPr>
      <t xml:space="preserve">サンプル</t>
    </r>
    <r>
      <rPr>
        <b val="true"/>
        <sz val="11"/>
        <color rgb="FFC00000"/>
        <rFont val="Arial"/>
        <family val="0"/>
        <charset val="1"/>
      </rPr>
      <t xml:space="preserve">)</t>
    </r>
    <r>
      <rPr>
        <b val="true"/>
        <sz val="11"/>
        <color rgb="FFC00000"/>
        <rFont val="WenQuanYi Zen Hei"/>
        <family val="2"/>
      </rPr>
      <t xml:space="preserve">です。実データに差し替えてご利用ください。</t>
    </r>
  </si>
  <si>
    <t xml:space="preserve">■ シート構成</t>
  </si>
  <si>
    <r>
      <rPr>
        <sz val="11"/>
        <rFont val="WenQuanYi Zen Hei"/>
        <family val="2"/>
      </rPr>
      <t xml:space="preserve">・投稿データ … 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投稿 </t>
    </r>
    <r>
      <rPr>
        <sz val="11"/>
        <rFont val="Arial"/>
        <family val="0"/>
        <charset val="1"/>
      </rPr>
      <t xml:space="preserve">= 1</t>
    </r>
    <r>
      <rPr>
        <sz val="11"/>
        <rFont val="WenQuanYi Zen Hei"/>
        <family val="2"/>
      </rPr>
      <t xml:space="preserve">行。青字の列</t>
    </r>
    <r>
      <rPr>
        <sz val="11"/>
        <rFont val="Arial"/>
        <family val="0"/>
        <charset val="1"/>
      </rPr>
      <t xml:space="preserve">(A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K)</t>
    </r>
    <r>
      <rPr>
        <sz val="11"/>
        <rFont val="WenQuanYi Zen Hei"/>
        <family val="2"/>
      </rPr>
      <t xml:space="preserve">を入力します。黒字の列</t>
    </r>
    <r>
      <rPr>
        <sz val="11"/>
        <rFont val="Arial"/>
        <family val="0"/>
        <charset val="1"/>
      </rPr>
      <t xml:space="preserve">(L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P)</t>
    </r>
    <r>
      <rPr>
        <sz val="11"/>
        <rFont val="WenQuanYi Zen Hei"/>
        <family val="2"/>
      </rPr>
      <t xml:space="preserve">は自動計算です。</t>
    </r>
  </si>
  <si>
    <r>
      <rPr>
        <sz val="11"/>
        <rFont val="WenQuanYi Zen Hei"/>
        <family val="2"/>
      </rPr>
      <t xml:space="preserve">・フォロワー推移 … 週</t>
    </r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回などの定点で、各</t>
    </r>
    <r>
      <rPr>
        <sz val="11"/>
        <rFont val="Arial"/>
        <family val="0"/>
        <charset val="1"/>
      </rPr>
      <t xml:space="preserve">SNS</t>
    </r>
    <r>
      <rPr>
        <sz val="11"/>
        <rFont val="WenQuanYi Zen Hei"/>
        <family val="2"/>
      </rPr>
      <t xml:space="preserve">のフォロワー数を青字の列に入力します。</t>
    </r>
  </si>
  <si>
    <r>
      <rPr>
        <sz val="11"/>
        <rFont val="WenQuanYi Zen Hei"/>
        <family val="2"/>
      </rPr>
      <t xml:space="preserve">・サマリー … </t>
    </r>
    <r>
      <rPr>
        <sz val="11"/>
        <rFont val="Arial"/>
        <family val="0"/>
        <charset val="1"/>
      </rPr>
      <t xml:space="preserve">SNS</t>
    </r>
    <r>
      <rPr>
        <sz val="11"/>
        <rFont val="WenQuanYi Zen Hei"/>
        <family val="2"/>
      </rPr>
      <t xml:space="preserve">別</t>
    </r>
    <r>
      <rPr>
        <sz val="11"/>
        <rFont val="Arial"/>
        <family val="0"/>
        <charset val="1"/>
      </rPr>
      <t xml:space="preserve">KPI</t>
    </r>
    <r>
      <rPr>
        <sz val="11"/>
        <rFont val="WenQuanYi Zen Hei"/>
        <family val="2"/>
      </rPr>
      <t xml:space="preserve">、投稿タイプ別・曜日別・時間帯別のエンゲージメント率、</t>
    </r>
    <r>
      <rPr>
        <sz val="11"/>
        <rFont val="Arial"/>
        <family val="0"/>
        <charset val="1"/>
      </rPr>
      <t xml:space="preserve">TOP5</t>
    </r>
    <r>
      <rPr>
        <sz val="11"/>
        <rFont val="WenQuanYi Zen Hei"/>
        <family val="2"/>
      </rPr>
      <t xml:space="preserve">投稿を自動集計します。</t>
    </r>
  </si>
  <si>
    <t xml:space="preserve">■ 色のルール</t>
  </si>
  <si>
    <r>
      <rPr>
        <sz val="11"/>
        <rFont val="WenQuanYi Zen Hei"/>
        <family val="2"/>
      </rPr>
      <t xml:space="preserve">・青字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手入力するセル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黒字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計算式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触らない</t>
    </r>
    <r>
      <rPr>
        <sz val="11"/>
        <rFont val="Arial"/>
        <family val="0"/>
        <charset val="1"/>
      </rPr>
      <t xml:space="preserve">)</t>
    </r>
  </si>
  <si>
    <t xml:space="preserve">■ 実データへの差し替え手順</t>
  </si>
  <si>
    <r>
      <rPr>
        <sz val="11"/>
        <rFont val="Arial"/>
        <family val="0"/>
        <charset val="1"/>
      </rPr>
      <t xml:space="preserve">1. </t>
    </r>
    <r>
      <rPr>
        <sz val="11"/>
        <rFont val="WenQuanYi Zen Hei"/>
        <family val="2"/>
      </rPr>
      <t xml:space="preserve">「投稿データ」シートの</t>
    </r>
    <r>
      <rPr>
        <sz val="11"/>
        <rFont val="Arial"/>
        <family val="0"/>
        <charset val="1"/>
      </rPr>
      <t xml:space="preserve">A2:K</t>
    </r>
    <r>
      <rPr>
        <sz val="11"/>
        <rFont val="WenQuanYi Zen Hei"/>
        <family val="2"/>
      </rPr>
      <t xml:space="preserve">行のサンプルを削除します</t>
    </r>
    <r>
      <rPr>
        <sz val="11"/>
        <rFont val="Arial"/>
        <family val="0"/>
        <charset val="1"/>
      </rPr>
      <t xml:space="preserve">(L</t>
    </r>
    <r>
      <rPr>
        <sz val="11"/>
        <rFont val="WenQuanYi Zen Hei"/>
        <family val="2"/>
      </rPr>
      <t xml:space="preserve">〜</t>
    </r>
    <r>
      <rPr>
        <sz val="11"/>
        <rFont val="Arial"/>
        <family val="0"/>
        <charset val="1"/>
      </rPr>
      <t xml:space="preserve">P</t>
    </r>
    <r>
      <rPr>
        <sz val="11"/>
        <rFont val="WenQuanYi Zen Hei"/>
        <family val="2"/>
      </rPr>
      <t xml:space="preserve">列の計算式は残してください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。</t>
    </r>
  </si>
  <si>
    <r>
      <rPr>
        <sz val="11"/>
        <rFont val="Arial"/>
        <family val="0"/>
        <charset val="1"/>
      </rPr>
      <t xml:space="preserve">2. X: </t>
    </r>
    <r>
      <rPr>
        <sz val="11"/>
        <rFont val="WenQuanYi Zen Hei"/>
        <family val="2"/>
      </rPr>
      <t xml:space="preserve">アナリティクス画面から投稿の</t>
    </r>
    <r>
      <rPr>
        <sz val="11"/>
        <rFont val="Arial"/>
        <family val="0"/>
        <charset val="1"/>
      </rPr>
      <t xml:space="preserve">CSV</t>
    </r>
    <r>
      <rPr>
        <sz val="11"/>
        <rFont val="WenQuanYi Zen Hei"/>
        <family val="2"/>
      </rPr>
      <t xml:space="preserve">をエクスポートし、インプレッション・いいね・リポスト・返信・引用・リンククリックを該当列に貼り付けます。</t>
    </r>
  </si>
  <si>
    <r>
      <rPr>
        <sz val="11"/>
        <rFont val="Arial"/>
        <family val="0"/>
        <charset val="1"/>
      </rPr>
      <t xml:space="preserve">3. Threads: </t>
    </r>
    <r>
      <rPr>
        <sz val="11"/>
        <rFont val="WenQuanYi Zen Hei"/>
        <family val="2"/>
      </rPr>
      <t xml:space="preserve">インサイト画面の投稿ごとの数値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閲覧数・いいね・返信・再投稿・引用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を貼り付けます。リンククリックは取得できないため </t>
    </r>
    <r>
      <rPr>
        <sz val="11"/>
        <rFont val="Arial"/>
        <family val="0"/>
        <charset val="1"/>
      </rPr>
      <t xml:space="preserve">0 </t>
    </r>
    <r>
      <rPr>
        <sz val="11"/>
        <rFont val="WenQuanYi Zen Hei"/>
        <family val="2"/>
      </rPr>
      <t xml:space="preserve">で構いません。</t>
    </r>
  </si>
  <si>
    <r>
      <rPr>
        <sz val="11"/>
        <rFont val="Arial"/>
        <family val="0"/>
        <charset val="1"/>
      </rPr>
      <t xml:space="preserve">4. SNS</t>
    </r>
    <r>
      <rPr>
        <sz val="11"/>
        <rFont val="WenQuanYi Zen Hei"/>
        <family val="2"/>
      </rPr>
      <t xml:space="preserve">列は「</t>
    </r>
    <r>
      <rPr>
        <sz val="11"/>
        <rFont val="Arial"/>
        <family val="0"/>
        <charset val="1"/>
      </rPr>
      <t xml:space="preserve">X</t>
    </r>
    <r>
      <rPr>
        <sz val="11"/>
        <rFont val="WenQuanYi Zen Hei"/>
        <family val="2"/>
      </rPr>
      <t xml:space="preserve">」または「</t>
    </r>
    <r>
      <rPr>
        <sz val="11"/>
        <rFont val="Arial"/>
        <family val="0"/>
        <charset val="1"/>
      </rPr>
      <t xml:space="preserve">Threads</t>
    </r>
    <r>
      <rPr>
        <sz val="11"/>
        <rFont val="WenQuanYi Zen Hei"/>
        <family val="2"/>
      </rPr>
      <t xml:space="preserve">」、投稿タイプは「テキスト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画像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動画 </t>
    </r>
    <r>
      <rPr>
        <sz val="11"/>
        <rFont val="Arial"/>
        <family val="0"/>
        <charset val="1"/>
      </rPr>
      <t xml:space="preserve">/ </t>
    </r>
    <r>
      <rPr>
        <sz val="11"/>
        <rFont val="WenQuanYi Zen Hei"/>
        <family val="2"/>
      </rPr>
      <t xml:space="preserve">リンク」のいずれかを選択します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プルダウンあり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。</t>
    </r>
  </si>
  <si>
    <r>
      <rPr>
        <sz val="11"/>
        <rFont val="Arial"/>
        <family val="0"/>
        <charset val="1"/>
      </rPr>
      <t xml:space="preserve">5. </t>
    </r>
    <r>
      <rPr>
        <sz val="11"/>
        <rFont val="WenQuanYi Zen Hei"/>
        <family val="2"/>
      </rPr>
      <t xml:space="preserve">入力できるのは </t>
    </r>
    <r>
      <rPr>
        <sz val="11"/>
        <rFont val="Arial"/>
        <family val="0"/>
        <charset val="1"/>
      </rPr>
      <t xml:space="preserve">500 </t>
    </r>
    <r>
      <rPr>
        <sz val="11"/>
        <rFont val="WenQuanYi Zen Hei"/>
        <family val="2"/>
      </rPr>
      <t xml:space="preserve">行目までです。</t>
    </r>
  </si>
  <si>
    <t xml:space="preserve">■ 指標の定義</t>
  </si>
  <si>
    <r>
      <rPr>
        <sz val="11"/>
        <rFont val="WenQuanYi Zen Hei"/>
        <family val="2"/>
      </rPr>
      <t xml:space="preserve">・エンゲージメント合計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いいね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リポスト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返信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引用 </t>
    </r>
    <r>
      <rPr>
        <sz val="11"/>
        <rFont val="Arial"/>
        <family val="0"/>
        <charset val="1"/>
      </rPr>
      <t xml:space="preserve">+ </t>
    </r>
    <r>
      <rPr>
        <sz val="11"/>
        <rFont val="WenQuanYi Zen Hei"/>
        <family val="2"/>
      </rPr>
      <t xml:space="preserve">リンククリック</t>
    </r>
  </si>
  <si>
    <r>
      <rPr>
        <sz val="11"/>
        <rFont val="WenQuanYi Zen Hei"/>
        <family val="2"/>
      </rPr>
      <t xml:space="preserve">・エンゲージメント率 </t>
    </r>
    <r>
      <rPr>
        <sz val="11"/>
        <rFont val="Arial"/>
        <family val="0"/>
        <charset val="1"/>
      </rPr>
      <t xml:space="preserve">= </t>
    </r>
    <r>
      <rPr>
        <sz val="11"/>
        <rFont val="WenQuanYi Zen Hei"/>
        <family val="2"/>
      </rPr>
      <t xml:space="preserve">エンゲージメント合計 </t>
    </r>
    <r>
      <rPr>
        <sz val="11"/>
        <rFont val="Arial"/>
        <family val="0"/>
        <charset val="1"/>
      </rPr>
      <t xml:space="preserve">÷ </t>
    </r>
    <r>
      <rPr>
        <sz val="11"/>
        <rFont val="WenQuanYi Zen Hei"/>
        <family val="2"/>
      </rPr>
      <t xml:space="preserve">インプレッション</t>
    </r>
  </si>
  <si>
    <r>
      <rPr>
        <sz val="11"/>
        <rFont val="WenQuanYi Zen Hei"/>
        <family val="2"/>
      </rPr>
      <t xml:space="preserve">・サマリーのエンゲージメント率は「合計エンゲージメント </t>
    </r>
    <r>
      <rPr>
        <sz val="11"/>
        <rFont val="Arial"/>
        <family val="0"/>
        <charset val="1"/>
      </rPr>
      <t xml:space="preserve">÷ </t>
    </r>
    <r>
      <rPr>
        <sz val="11"/>
        <rFont val="WenQuanYi Zen Hei"/>
        <family val="2"/>
      </rPr>
      <t xml:space="preserve">合計インプレッション」</t>
    </r>
    <r>
      <rPr>
        <sz val="11"/>
        <rFont val="Arial"/>
        <family val="0"/>
        <charset val="1"/>
      </rPr>
      <t xml:space="preserve">(</t>
    </r>
    <r>
      <rPr>
        <sz val="11"/>
        <rFont val="WenQuanYi Zen Hei"/>
        <family val="2"/>
      </rPr>
      <t xml:space="preserve">インプレッションで加重した率</t>
    </r>
    <r>
      <rPr>
        <sz val="11"/>
        <rFont val="Arial"/>
        <family val="0"/>
        <charset val="1"/>
      </rPr>
      <t xml:space="preserve">)</t>
    </r>
    <r>
      <rPr>
        <sz val="11"/>
        <rFont val="WenQuanYi Zen Hei"/>
        <family val="2"/>
      </rPr>
      <t xml:space="preserve">です。</t>
    </r>
  </si>
  <si>
    <r>
      <rPr>
        <b val="true"/>
        <sz val="11"/>
        <rFont val="WenQuanYi Zen Hei"/>
        <family val="2"/>
      </rPr>
      <t xml:space="preserve">■ 入力例</t>
    </r>
    <r>
      <rPr>
        <b val="true"/>
        <sz val="11"/>
        <rFont val="Arial"/>
        <family val="0"/>
        <charset val="1"/>
      </rPr>
      <t xml:space="preserve">(1</t>
    </r>
    <r>
      <rPr>
        <b val="true"/>
        <sz val="11"/>
        <rFont val="WenQuanYi Zen Hei"/>
        <family val="2"/>
      </rPr>
      <t xml:space="preserve">行分</t>
    </r>
    <r>
      <rPr>
        <b val="true"/>
        <sz val="11"/>
        <rFont val="Arial"/>
        <family val="0"/>
        <charset val="1"/>
      </rPr>
      <t xml:space="preserve">)</t>
    </r>
  </si>
  <si>
    <t xml:space="preserve">投稿日</t>
  </si>
  <si>
    <t xml:space="preserve">時刻</t>
  </si>
  <si>
    <t xml:space="preserve">SNS</t>
  </si>
  <si>
    <t xml:space="preserve">投稿タイプ</t>
  </si>
  <si>
    <t xml:space="preserve">内容メモ</t>
  </si>
  <si>
    <t xml:space="preserve">インプレッション</t>
  </si>
  <si>
    <t xml:space="preserve">いいね</t>
  </si>
  <si>
    <t xml:space="preserve">リポスト</t>
  </si>
  <si>
    <t xml:space="preserve">返信</t>
  </si>
  <si>
    <t xml:space="preserve">引用</t>
  </si>
  <si>
    <t xml:space="preserve">リンククリック</t>
  </si>
  <si>
    <t xml:space="preserve">X</t>
  </si>
  <si>
    <t xml:space="preserve">画像</t>
  </si>
  <si>
    <t xml:space="preserve">新商品の紹介</t>
  </si>
  <si>
    <r>
      <rPr>
        <b val="true"/>
        <sz val="14"/>
        <rFont val="Arial"/>
        <family val="0"/>
        <charset val="1"/>
      </rPr>
      <t xml:space="preserve">SNS</t>
    </r>
    <r>
      <rPr>
        <b val="true"/>
        <sz val="14"/>
        <rFont val="WenQuanYi Zen Hei"/>
        <family val="2"/>
      </rPr>
      <t xml:space="preserve">分析サマリー</t>
    </r>
    <r>
      <rPr>
        <b val="true"/>
        <sz val="14"/>
        <rFont val="Arial"/>
        <family val="0"/>
        <charset val="1"/>
      </rPr>
      <t xml:space="preserve">(X / Threads)</t>
    </r>
  </si>
  <si>
    <r>
      <rPr>
        <b val="true"/>
        <sz val="11"/>
        <rFont val="Arial"/>
        <family val="0"/>
        <charset val="1"/>
      </rPr>
      <t xml:space="preserve">1. SNS</t>
    </r>
    <r>
      <rPr>
        <b val="true"/>
        <sz val="11"/>
        <rFont val="WenQuanYi Zen Hei"/>
        <family val="2"/>
      </rPr>
      <t xml:space="preserve">別 主要</t>
    </r>
    <r>
      <rPr>
        <b val="true"/>
        <sz val="11"/>
        <rFont val="Arial"/>
        <family val="0"/>
        <charset val="1"/>
      </rPr>
      <t xml:space="preserve">KPI</t>
    </r>
  </si>
  <si>
    <t xml:space="preserve">指標</t>
  </si>
  <si>
    <t xml:space="preserve">Threads</t>
  </si>
  <si>
    <t xml:space="preserve">投稿数</t>
  </si>
  <si>
    <t xml:space="preserve">合計インプレッション</t>
  </si>
  <si>
    <r>
      <rPr>
        <sz val="11"/>
        <rFont val="Arial"/>
        <family val="0"/>
        <charset val="1"/>
      </rPr>
      <t xml:space="preserve">1</t>
    </r>
    <r>
      <rPr>
        <sz val="11"/>
        <rFont val="WenQuanYi Zen Hei"/>
        <family val="2"/>
      </rPr>
      <t xml:space="preserve">投稿あたり平均インプレッション</t>
    </r>
  </si>
  <si>
    <t xml:space="preserve">合計エンゲージメント</t>
  </si>
  <si>
    <t xml:space="preserve">エンゲージメント率</t>
  </si>
  <si>
    <t xml:space="preserve">合計いいね</t>
  </si>
  <si>
    <t xml:space="preserve">合計リポスト</t>
  </si>
  <si>
    <t xml:space="preserve">合計返信</t>
  </si>
  <si>
    <t xml:space="preserve">合計リンククリック</t>
  </si>
  <si>
    <t xml:space="preserve">最新フォロワー数</t>
  </si>
  <si>
    <t xml:space="preserve">期間中のフォロワー増加</t>
  </si>
  <si>
    <r>
      <rPr>
        <b val="true"/>
        <sz val="11"/>
        <rFont val="Arial"/>
        <family val="0"/>
        <charset val="1"/>
      </rPr>
      <t xml:space="preserve">2. </t>
    </r>
    <r>
      <rPr>
        <b val="true"/>
        <sz val="11"/>
        <rFont val="WenQuanYi Zen Hei"/>
        <family val="2"/>
      </rPr>
      <t xml:space="preserve">投稿タイプ別 エンゲージメント率</t>
    </r>
  </si>
  <si>
    <t xml:space="preserve">区分</t>
  </si>
  <si>
    <r>
      <rPr>
        <b val="true"/>
        <sz val="11"/>
        <color rgb="FFFFFFFF"/>
        <rFont val="Arial"/>
        <family val="0"/>
        <charset val="1"/>
      </rPr>
      <t xml:space="preserve">X </t>
    </r>
    <r>
      <rPr>
        <b val="true"/>
        <sz val="11"/>
        <color rgb="FFFFFFFF"/>
        <rFont val="WenQuanYi Zen Hei"/>
        <family val="2"/>
      </rPr>
      <t xml:space="preserve">投稿数</t>
    </r>
  </si>
  <si>
    <r>
      <rPr>
        <b val="true"/>
        <sz val="11"/>
        <color rgb="FFFFFFFF"/>
        <rFont val="Arial"/>
        <family val="0"/>
        <charset val="1"/>
      </rPr>
      <t xml:space="preserve">X </t>
    </r>
    <r>
      <rPr>
        <b val="true"/>
        <sz val="11"/>
        <color rgb="FFFFFFFF"/>
        <rFont val="WenQuanYi Zen Hei"/>
        <family val="2"/>
      </rPr>
      <t xml:space="preserve">エンゲージメント率</t>
    </r>
  </si>
  <si>
    <r>
      <rPr>
        <b val="true"/>
        <sz val="11"/>
        <color rgb="FFFFFFFF"/>
        <rFont val="Arial"/>
        <family val="0"/>
        <charset val="1"/>
      </rPr>
      <t xml:space="preserve">Threads </t>
    </r>
    <r>
      <rPr>
        <b val="true"/>
        <sz val="11"/>
        <color rgb="FFFFFFFF"/>
        <rFont val="WenQuanYi Zen Hei"/>
        <family val="2"/>
      </rPr>
      <t xml:space="preserve">投稿数</t>
    </r>
  </si>
  <si>
    <r>
      <rPr>
        <b val="true"/>
        <sz val="11"/>
        <color rgb="FFFFFFFF"/>
        <rFont val="Arial"/>
        <family val="0"/>
        <charset val="1"/>
      </rPr>
      <t xml:space="preserve">Threads </t>
    </r>
    <r>
      <rPr>
        <b val="true"/>
        <sz val="11"/>
        <color rgb="FFFFFFFF"/>
        <rFont val="WenQuanYi Zen Hei"/>
        <family val="2"/>
      </rPr>
      <t xml:space="preserve">エンゲージメント率</t>
    </r>
  </si>
  <si>
    <t xml:space="preserve">テキスト</t>
  </si>
  <si>
    <t xml:space="preserve">動画</t>
  </si>
  <si>
    <t xml:space="preserve">リンク</t>
  </si>
  <si>
    <r>
      <rPr>
        <b val="true"/>
        <sz val="11"/>
        <rFont val="Arial"/>
        <family val="0"/>
        <charset val="1"/>
      </rPr>
      <t xml:space="preserve">3. </t>
    </r>
    <r>
      <rPr>
        <b val="true"/>
        <sz val="11"/>
        <rFont val="WenQuanYi Zen Hei"/>
        <family val="2"/>
      </rPr>
      <t xml:space="preserve">曜日別 エンゲージメント率</t>
    </r>
  </si>
  <si>
    <t xml:space="preserve">月</t>
  </si>
  <si>
    <t xml:space="preserve">火</t>
  </si>
  <si>
    <t xml:space="preserve">水</t>
  </si>
  <si>
    <t xml:space="preserve">木</t>
  </si>
  <si>
    <t xml:space="preserve">金</t>
  </si>
  <si>
    <t xml:space="preserve">土</t>
  </si>
  <si>
    <t xml:space="preserve">日</t>
  </si>
  <si>
    <r>
      <rPr>
        <b val="true"/>
        <sz val="11"/>
        <rFont val="Arial"/>
        <family val="0"/>
        <charset val="1"/>
      </rPr>
      <t xml:space="preserve">4. </t>
    </r>
    <r>
      <rPr>
        <b val="true"/>
        <sz val="11"/>
        <rFont val="WenQuanYi Zen Hei"/>
        <family val="2"/>
      </rPr>
      <t xml:space="preserve">時間帯別 エンゲージメント率</t>
    </r>
  </si>
  <si>
    <r>
      <rPr>
        <sz val="11"/>
        <rFont val="WenQuanYi Zen Hei"/>
        <family val="2"/>
      </rPr>
      <t xml:space="preserve">朝</t>
    </r>
    <r>
      <rPr>
        <sz val="11"/>
        <rFont val="Arial"/>
        <family val="0"/>
        <charset val="1"/>
      </rPr>
      <t xml:space="preserve">(6-10</t>
    </r>
    <r>
      <rPr>
        <sz val="11"/>
        <rFont val="WenQuanYi Zen Hei"/>
        <family val="2"/>
      </rPr>
      <t xml:space="preserve">時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</si>
  <si>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昼</t>
    </r>
    <r>
      <rPr>
        <sz val="11"/>
        <rFont val="Arial"/>
        <family val="0"/>
        <charset val="1"/>
      </rPr>
      <t xml:space="preserve">(11-14</t>
    </r>
    <r>
      <rPr>
        <sz val="11"/>
        <rFont val="WenQuanYi Zen Hei"/>
        <family val="2"/>
      </rPr>
      <t xml:space="preserve">時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</si>
  <si>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夕方</t>
    </r>
    <r>
      <rPr>
        <sz val="11"/>
        <rFont val="Arial"/>
        <family val="0"/>
        <charset val="1"/>
      </rPr>
      <t xml:space="preserve">(15-18</t>
    </r>
    <r>
      <rPr>
        <sz val="11"/>
        <rFont val="WenQuanYi Zen Hei"/>
        <family val="2"/>
      </rPr>
      <t xml:space="preserve">時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</si>
  <si>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夜</t>
    </r>
    <r>
      <rPr>
        <sz val="11"/>
        <rFont val="Arial"/>
        <family val="0"/>
        <charset val="1"/>
      </rPr>
      <t xml:space="preserve">(19-23</t>
    </r>
    <r>
      <rPr>
        <sz val="11"/>
        <rFont val="WenQuanYi Zen Hei"/>
        <family val="2"/>
      </rPr>
      <t xml:space="preserve">時</t>
    </r>
    <r>
      <rPr>
        <sz val="11"/>
        <rFont val="Arial"/>
        <family val="0"/>
        <charset val="1"/>
      </rPr>
      <t xml:space="preserve">)</t>
    </r>
  </si>
  <si>
    <r>
      <rPr>
        <sz val="11"/>
        <rFont val="WenQuanYi Zen Hei"/>
        <family val="2"/>
      </rPr>
      <t xml:space="preserve">深夜</t>
    </r>
    <r>
      <rPr>
        <sz val="11"/>
        <rFont val="Arial"/>
        <family val="0"/>
        <charset val="1"/>
      </rPr>
      <t xml:space="preserve">(0-5</t>
    </r>
    <r>
      <rPr>
        <sz val="11"/>
        <rFont val="WenQuanYi Zen Hei"/>
        <family val="2"/>
      </rPr>
      <t xml:space="preserve">時</t>
    </r>
    <r>
      <rPr>
        <sz val="11"/>
        <rFont val="Arial"/>
        <family val="0"/>
        <charset val="1"/>
      </rPr>
      <t xml:space="preserve">)</t>
    </r>
  </si>
  <si>
    <r>
      <rPr>
        <b val="true"/>
        <sz val="11"/>
        <rFont val="Arial"/>
        <family val="0"/>
        <charset val="1"/>
      </rPr>
      <t xml:space="preserve">5. </t>
    </r>
    <r>
      <rPr>
        <b val="true"/>
        <sz val="11"/>
        <rFont val="WenQuanYi Zen Hei"/>
        <family val="2"/>
      </rPr>
      <t xml:space="preserve">エンゲージメント率 </t>
    </r>
    <r>
      <rPr>
        <b val="true"/>
        <sz val="11"/>
        <rFont val="Arial"/>
        <family val="0"/>
        <charset val="1"/>
      </rPr>
      <t xml:space="preserve">TOP5 </t>
    </r>
    <r>
      <rPr>
        <b val="true"/>
        <sz val="11"/>
        <rFont val="WenQuanYi Zen Hei"/>
        <family val="2"/>
      </rPr>
      <t xml:space="preserve">投稿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WenQuanYi Zen Hei"/>
        <family val="2"/>
      </rPr>
      <t xml:space="preserve">両</t>
    </r>
    <r>
      <rPr>
        <b val="true"/>
        <sz val="11"/>
        <rFont val="Arial"/>
        <family val="0"/>
        <charset val="1"/>
      </rPr>
      <t xml:space="preserve">SNS</t>
    </r>
    <r>
      <rPr>
        <b val="true"/>
        <sz val="11"/>
        <rFont val="WenQuanYi Zen Hei"/>
        <family val="2"/>
      </rPr>
      <t xml:space="preserve">合算</t>
    </r>
    <r>
      <rPr>
        <b val="true"/>
        <sz val="11"/>
        <rFont val="Arial"/>
        <family val="0"/>
        <charset val="1"/>
      </rPr>
      <t xml:space="preserve">)</t>
    </r>
  </si>
  <si>
    <t xml:space="preserve">順位</t>
  </si>
  <si>
    <r>
      <rPr>
        <i val="true"/>
        <sz val="11"/>
        <color rgb="FF808080"/>
        <rFont val="WenQuanYi Zen Hei"/>
        <family val="2"/>
      </rPr>
      <t xml:space="preserve">※ 緑字 </t>
    </r>
    <r>
      <rPr>
        <i val="true"/>
        <sz val="11"/>
        <color rgb="FF808080"/>
        <rFont val="Arial"/>
        <family val="0"/>
        <charset val="1"/>
      </rPr>
      <t xml:space="preserve">= </t>
    </r>
    <r>
      <rPr>
        <i val="true"/>
        <sz val="11"/>
        <color rgb="FF808080"/>
        <rFont val="WenQuanYi Zen Hei"/>
        <family val="2"/>
      </rPr>
      <t xml:space="preserve">他シートからの参照、黒字 </t>
    </r>
    <r>
      <rPr>
        <i val="true"/>
        <sz val="11"/>
        <color rgb="FF808080"/>
        <rFont val="Arial"/>
        <family val="0"/>
        <charset val="1"/>
      </rPr>
      <t xml:space="preserve">= </t>
    </r>
    <r>
      <rPr>
        <i val="true"/>
        <sz val="11"/>
        <color rgb="FF808080"/>
        <rFont val="WenQuanYi Zen Hei"/>
        <family val="2"/>
      </rPr>
      <t xml:space="preserve">このシート内の計算式。数値はすべて自動計算です。</t>
    </r>
  </si>
  <si>
    <t xml:space="preserve">エンゲージメント合計</t>
  </si>
  <si>
    <t xml:space="preserve">曜日</t>
  </si>
  <si>
    <t xml:space="preserve">時間帯</t>
  </si>
  <si>
    <r>
      <rPr>
        <b val="true"/>
        <sz val="11"/>
        <color rgb="FFFFFFFF"/>
        <rFont val="WenQuanYi Zen Hei"/>
        <family val="2"/>
      </rPr>
      <t xml:space="preserve">順位用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自動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</si>
  <si>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アンケート</t>
  </si>
  <si>
    <t xml:space="preserve">業界ニュースへのコメント</t>
  </si>
  <si>
    <t xml:space="preserve">ユーザーの声</t>
  </si>
  <si>
    <t xml:space="preserve">よくある質問への回答</t>
  </si>
  <si>
    <t xml:space="preserve">ノウハウ共有</t>
  </si>
  <si>
    <t xml:space="preserve">ブログ更新のお知らせ</t>
  </si>
  <si>
    <t xml:space="preserve">今日のひとこと</t>
  </si>
  <si>
    <t xml:space="preserve">開発の裏話</t>
  </si>
  <si>
    <t xml:space="preserve">イベント告知</t>
  </si>
  <si>
    <t xml:space="preserve">日付</t>
  </si>
  <si>
    <r>
      <rPr>
        <b val="true"/>
        <sz val="11"/>
        <color rgb="FFFFFFFF"/>
        <rFont val="Arial"/>
        <family val="0"/>
        <charset val="1"/>
      </rPr>
      <t xml:space="preserve">X </t>
    </r>
    <r>
      <rPr>
        <b val="true"/>
        <sz val="11"/>
        <color rgb="FFFFFFFF"/>
        <rFont val="WenQuanYi Zen Hei"/>
        <family val="2"/>
      </rPr>
      <t xml:space="preserve">フォロワー</t>
    </r>
  </si>
  <si>
    <r>
      <rPr>
        <b val="true"/>
        <sz val="11"/>
        <color rgb="FFFFFFFF"/>
        <rFont val="Arial"/>
        <family val="0"/>
        <charset val="1"/>
      </rPr>
      <t xml:space="preserve">Threads </t>
    </r>
    <r>
      <rPr>
        <b val="true"/>
        <sz val="11"/>
        <color rgb="FFFFFFFF"/>
        <rFont val="WenQuanYi Zen Hei"/>
        <family val="2"/>
      </rPr>
      <t xml:space="preserve">フォロワー</t>
    </r>
  </si>
  <si>
    <r>
      <rPr>
        <b val="true"/>
        <sz val="11"/>
        <color rgb="FFFFFFFF"/>
        <rFont val="Arial"/>
        <family val="0"/>
        <charset val="1"/>
      </rPr>
      <t xml:space="preserve">X </t>
    </r>
    <r>
      <rPr>
        <b val="true"/>
        <sz val="11"/>
        <color rgb="FFFFFFFF"/>
        <rFont val="WenQuanYi Zen Hei"/>
        <family val="2"/>
      </rPr>
      <t xml:space="preserve">増減</t>
    </r>
  </si>
  <si>
    <r>
      <rPr>
        <b val="true"/>
        <sz val="11"/>
        <color rgb="FFFFFFFF"/>
        <rFont val="Arial"/>
        <family val="0"/>
        <charset val="1"/>
      </rPr>
      <t xml:space="preserve">Threads </t>
    </r>
    <r>
      <rPr>
        <b val="true"/>
        <sz val="11"/>
        <color rgb="FFFFFFFF"/>
        <rFont val="WenQuanYi Zen Hei"/>
        <family val="2"/>
      </rPr>
      <t xml:space="preserve">増減</t>
    </r>
  </si>
  <si>
    <t xml:space="preserve">-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</si>
</sst>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yyyy/mm/dd"/>
    <numFmt numFmtId="166" formatCode="hh:mm"/>
    <numFmt numFmtId="167" formatCode="#,##0"/>
    <numFmt numFmtId="168" formatCode="0.00%"/>
    <numFmt numFmtId="169" formatCode="\+#,##0;\-#,##0;0"/>
    <numFmt numFmtId="170" formatCode="0"/>
    <numFmt numFmtId="171" formatCode="@"/>
    <numFmt numFmtId="172" formatCode="0.0%"/>
    <numFmt numFmtId="173" formatCode="0.0000%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sz val="11"/>
      <color theme="1"/>
      <name val="Arial"/>
      <family val="0"/>
      <charset val="1"/>
    </font>
    <font>
      <b val="true"/>
      <sz val="11"/>
      <color rgb="FFC00000"/>
      <name val="WenQuanYi Zen Hei"/>
      <family val="2"/>
    </font>
    <font>
      <b val="true"/>
      <sz val="11"/>
      <color rgb="FFC00000"/>
      <name val="Arial"/>
      <family val="0"/>
      <charset val="1"/>
    </font>
    <font>
      <b val="true"/>
      <sz val="11"/>
      <name val="WenQuanYi Zen Hei"/>
      <family val="2"/>
    </font>
    <font>
      <sz val="11"/>
      <name val="WenQuanYi Zen Hei"/>
      <family val="2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WenQuanYi Zen Hei"/>
      <family val="2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FF"/>
      <name val="WenQuanYi Zen Hei"/>
      <family val="2"/>
    </font>
    <font>
      <sz val="11"/>
      <color rgb="FF008000"/>
      <name val="Arial"/>
      <family val="0"/>
      <charset val="1"/>
    </font>
    <font>
      <i val="true"/>
      <sz val="11"/>
      <color rgb="FF808080"/>
      <name val="WenQuanYi Zen Hei"/>
      <family val="2"/>
    </font>
    <font>
      <i val="true"/>
      <sz val="11"/>
      <color rgb="FF808080"/>
      <name val="Arial"/>
      <family val="0"/>
      <charset val="1"/>
    </font>
    <font>
      <b val="true"/>
      <sz val="18"/>
      <color rgb="FF000000"/>
      <name val="WenQuanYi Zen Hei"/>
      <family val="2"/>
    </font>
    <font>
      <sz val="10"/>
      <color rgb="FF000000"/>
      <name val="Calibri"/>
      <family val="2"/>
    </font>
    <font>
      <b val="true"/>
      <sz val="10"/>
      <color rgb="FF000000"/>
      <name val="WenQuanYi Zen Hei"/>
      <family val="2"/>
    </font>
    <font>
      <sz val="11"/>
      <color rgb="FFA6A6A6"/>
      <name val="Arial"/>
      <family val="0"/>
      <charset val="1"/>
    </font>
    <font>
      <sz val="10"/>
      <name val="Arial"/>
      <family val="2"/>
    </font>
    <font>
      <sz val="10"/>
      <name val="WenQuanYi Zen Hei"/>
      <family val="2"/>
    </font>
  </fonts>
  <fills count="3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A6A6A6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A6A6A6"/>
      <rgbColor rgb="FFBE4B48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A7EBB"/>
      <rgbColor rgb="FF878787"/>
      <rgbColor rgb="FF1F3A5F"/>
      <rgbColor rgb="FF339966"/>
      <rgbColor rgb="FF003300"/>
      <rgbColor rgb="FF333300"/>
      <rgbColor rgb="FF993300"/>
      <rgbColor rgb="FFC0504D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投稿タイプ別 エンゲージメント率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サマリー!C19</c:f>
              <c:strCache>
                <c:ptCount val="1"/>
                <c:pt idx="0">
                  <c:v>X エンゲージメント率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サマリー!$A$20:$A$23</c:f>
              <c:strCache>
                <c:ptCount val="4"/>
                <c:pt idx="0">
                  <c:v>テキスト</c:v>
                </c:pt>
                <c:pt idx="1">
                  <c:v>画像</c:v>
                </c:pt>
                <c:pt idx="2">
                  <c:v>動画</c:v>
                </c:pt>
                <c:pt idx="3">
                  <c:v>リンク</c:v>
                </c:pt>
              </c:strCache>
            </c:strRef>
          </c:cat>
          <c:val>
            <c:numRef>
              <c:f>サマリー!$C$20:$C$23</c:f>
              <c:numCache>
                <c:formatCode>0.00%</c:formatCode>
                <c:ptCount val="4"/>
                <c:pt idx="0">
                  <c:v>0.0148573296765171</c:v>
                </c:pt>
                <c:pt idx="1">
                  <c:v>0.0259630606860158</c:v>
                </c:pt>
                <c:pt idx="2">
                  <c:v>0.0320793907223633</c:v>
                </c:pt>
                <c:pt idx="3">
                  <c:v>0.0158777711204314</c:v>
                </c:pt>
              </c:numCache>
            </c:numRef>
          </c:val>
        </c:ser>
        <c:ser>
          <c:idx val="1"/>
          <c:order val="1"/>
          <c:tx>
            <c:strRef>
              <c:f>サマリー!E19</c:f>
              <c:strCache>
                <c:ptCount val="1"/>
                <c:pt idx="0">
                  <c:v>Threads エンゲージメント率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サマリー!$A$20:$A$23</c:f>
              <c:strCache>
                <c:ptCount val="4"/>
                <c:pt idx="0">
                  <c:v>テキスト</c:v>
                </c:pt>
                <c:pt idx="1">
                  <c:v>画像</c:v>
                </c:pt>
                <c:pt idx="2">
                  <c:v>動画</c:v>
                </c:pt>
                <c:pt idx="3">
                  <c:v>リンク</c:v>
                </c:pt>
              </c:strCache>
            </c:strRef>
          </c:cat>
          <c:val>
            <c:numRef>
              <c:f>サマリー!$E$20:$E$23</c:f>
              <c:numCache>
                <c:formatCode>0.00%</c:formatCode>
                <c:ptCount val="4"/>
                <c:pt idx="0">
                  <c:v>0.0597291782600631</c:v>
                </c:pt>
                <c:pt idx="1">
                  <c:v>0.0452622673434856</c:v>
                </c:pt>
                <c:pt idx="2">
                  <c:v>0.0396662161368044</c:v>
                </c:pt>
                <c:pt idx="3">
                  <c:v>0.0203045685279188</c:v>
                </c:pt>
              </c:numCache>
            </c:numRef>
          </c:val>
        </c:ser>
        <c:gapWidth val="150"/>
        <c:overlap val="0"/>
        <c:axId val="18895317"/>
        <c:axId val="53021416"/>
      </c:barChart>
      <c:catAx>
        <c:axId val="188953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021416"/>
        <c:crosses val="autoZero"/>
        <c:auto val="1"/>
        <c:lblAlgn val="ctr"/>
        <c:lblOffset val="100"/>
        <c:noMultiLvlLbl val="0"/>
      </c:catAx>
      <c:valAx>
        <c:axId val="5302141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エンゲージメント率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8953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曜日別 エンゲージメント率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サマリー!C26</c:f>
              <c:strCache>
                <c:ptCount val="1"/>
                <c:pt idx="0">
                  <c:v>X エンゲージメント率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サマリー!$A$27:$A$33</c:f>
              <c:strCache>
                <c:ptCount val="7"/>
                <c:pt idx="0">
                  <c:v>月</c:v>
                </c:pt>
                <c:pt idx="1">
                  <c:v>火</c:v>
                </c:pt>
                <c:pt idx="2">
                  <c:v>水</c:v>
                </c:pt>
                <c:pt idx="3">
                  <c:v>木</c:v>
                </c:pt>
                <c:pt idx="4">
                  <c:v>金</c:v>
                </c:pt>
                <c:pt idx="5">
                  <c:v>土</c:v>
                </c:pt>
                <c:pt idx="6">
                  <c:v>日</c:v>
                </c:pt>
              </c:strCache>
            </c:strRef>
          </c:cat>
          <c:val>
            <c:numRef>
              <c:f>サマリー!$C$27:$C$33</c:f>
              <c:numCache>
                <c:formatCode>0.00%</c:formatCode>
                <c:ptCount val="7"/>
                <c:pt idx="0">
                  <c:v>0.030323691954353</c:v>
                </c:pt>
                <c:pt idx="1">
                  <c:v>0.0215287379024294</c:v>
                </c:pt>
                <c:pt idx="2">
                  <c:v>0.0257411606617956</c:v>
                </c:pt>
                <c:pt idx="3">
                  <c:v>0.0197289016804382</c:v>
                </c:pt>
                <c:pt idx="4">
                  <c:v>0.0161773267903186</c:v>
                </c:pt>
                <c:pt idx="5">
                  <c:v>0.0263344188022087</c:v>
                </c:pt>
                <c:pt idx="6">
                  <c:v>0.0198825124265703</c:v>
                </c:pt>
              </c:numCache>
            </c:numRef>
          </c:val>
        </c:ser>
        <c:ser>
          <c:idx val="1"/>
          <c:order val="1"/>
          <c:tx>
            <c:strRef>
              <c:f>サマリー!E26</c:f>
              <c:strCache>
                <c:ptCount val="1"/>
                <c:pt idx="0">
                  <c:v>Threads エンゲージメント率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サマリー!$A$27:$A$33</c:f>
              <c:strCache>
                <c:ptCount val="7"/>
                <c:pt idx="0">
                  <c:v>月</c:v>
                </c:pt>
                <c:pt idx="1">
                  <c:v>火</c:v>
                </c:pt>
                <c:pt idx="2">
                  <c:v>水</c:v>
                </c:pt>
                <c:pt idx="3">
                  <c:v>木</c:v>
                </c:pt>
                <c:pt idx="4">
                  <c:v>金</c:v>
                </c:pt>
                <c:pt idx="5">
                  <c:v>土</c:v>
                </c:pt>
                <c:pt idx="6">
                  <c:v>日</c:v>
                </c:pt>
              </c:strCache>
            </c:strRef>
          </c:cat>
          <c:val>
            <c:numRef>
              <c:f>サマリー!$E$27:$E$33</c:f>
              <c:numCache>
                <c:formatCode>0.00%</c:formatCode>
                <c:ptCount val="7"/>
                <c:pt idx="0">
                  <c:v>0.033686837180287</c:v>
                </c:pt>
                <c:pt idx="1">
                  <c:v>0.0560731235718052</c:v>
                </c:pt>
                <c:pt idx="2">
                  <c:v>0.031294051310967</c:v>
                </c:pt>
                <c:pt idx="3">
                  <c:v>0.0531617235590375</c:v>
                </c:pt>
                <c:pt idx="4">
                  <c:v>0.0413552566018934</c:v>
                </c:pt>
                <c:pt idx="5">
                  <c:v>0.038150289017341</c:v>
                </c:pt>
                <c:pt idx="6">
                  <c:v>0.0591022658740415</c:v>
                </c:pt>
              </c:numCache>
            </c:numRef>
          </c:val>
        </c:ser>
        <c:gapWidth val="150"/>
        <c:overlap val="0"/>
        <c:axId val="56996078"/>
        <c:axId val="18684308"/>
      </c:barChart>
      <c:catAx>
        <c:axId val="569960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684308"/>
        <c:crosses val="autoZero"/>
        <c:auto val="1"/>
        <c:lblAlgn val="ctr"/>
        <c:lblOffset val="100"/>
        <c:noMultiLvlLbl val="0"/>
      </c:catAx>
      <c:valAx>
        <c:axId val="1868430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エンゲージメント率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9960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時間帯別 エンゲージメント率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サマリー!C36</c:f>
              <c:strCache>
                <c:ptCount val="1"/>
                <c:pt idx="0">
                  <c:v>X エンゲージメント率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サマリー!$A$37:$A$41</c:f>
              <c:strCache>
                <c:ptCount val="5"/>
                <c:pt idx="0">
                  <c:v>朝(6-10時)</c:v>
                </c:pt>
                <c:pt idx="1">
                  <c:v>昼(11-14時)</c:v>
                </c:pt>
                <c:pt idx="2">
                  <c:v>夕方(15-18時)</c:v>
                </c:pt>
                <c:pt idx="3">
                  <c:v>夜(19-23時)</c:v>
                </c:pt>
                <c:pt idx="4">
                  <c:v>深夜(0-5時)</c:v>
                </c:pt>
              </c:strCache>
            </c:strRef>
          </c:cat>
          <c:val>
            <c:numRef>
              <c:f>サマリー!$C$37:$C$41</c:f>
              <c:numCache>
                <c:formatCode>0.00%</c:formatCode>
                <c:ptCount val="5"/>
                <c:pt idx="0">
                  <c:v>0.0191834402742375</c:v>
                </c:pt>
                <c:pt idx="1">
                  <c:v>0.0228400467016929</c:v>
                </c:pt>
                <c:pt idx="2">
                  <c:v>0.0172009382329945</c:v>
                </c:pt>
                <c:pt idx="3">
                  <c:v>0.0288232319583905</c:v>
                </c:pt>
                <c:pt idx="4">
                  <c:v>0.0207154040708178</c:v>
                </c:pt>
              </c:numCache>
            </c:numRef>
          </c:val>
        </c:ser>
        <c:ser>
          <c:idx val="1"/>
          <c:order val="1"/>
          <c:tx>
            <c:strRef>
              <c:f>サマリー!E36</c:f>
              <c:strCache>
                <c:ptCount val="1"/>
                <c:pt idx="0">
                  <c:v>Threads エンゲージメント率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サマリー!$A$37:$A$41</c:f>
              <c:strCache>
                <c:ptCount val="5"/>
                <c:pt idx="0">
                  <c:v>朝(6-10時)</c:v>
                </c:pt>
                <c:pt idx="1">
                  <c:v>昼(11-14時)</c:v>
                </c:pt>
                <c:pt idx="2">
                  <c:v>夕方(15-18時)</c:v>
                </c:pt>
                <c:pt idx="3">
                  <c:v>夜(19-23時)</c:v>
                </c:pt>
                <c:pt idx="4">
                  <c:v>深夜(0-5時)</c:v>
                </c:pt>
              </c:strCache>
            </c:strRef>
          </c:cat>
          <c:val>
            <c:numRef>
              <c:f>サマリー!$E$37:$E$41</c:f>
              <c:numCache>
                <c:formatCode>0.00%</c:formatCode>
                <c:ptCount val="5"/>
                <c:pt idx="0">
                  <c:v>0.0415496911847277</c:v>
                </c:pt>
                <c:pt idx="1">
                  <c:v>0.0479155982123232</c:v>
                </c:pt>
                <c:pt idx="2">
                  <c:v>0.0422922393740749</c:v>
                </c:pt>
                <c:pt idx="3">
                  <c:v>0.0502185141040922</c:v>
                </c:pt>
                <c:pt idx="4">
                  <c:v>0.0200300450676014</c:v>
                </c:pt>
              </c:numCache>
            </c:numRef>
          </c:val>
        </c:ser>
        <c:gapWidth val="150"/>
        <c:overlap val="0"/>
        <c:axId val="49086774"/>
        <c:axId val="81535385"/>
      </c:barChart>
      <c:catAx>
        <c:axId val="4908677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535385"/>
        <c:crosses val="autoZero"/>
        <c:auto val="1"/>
        <c:lblAlgn val="ctr"/>
        <c:lblOffset val="100"/>
        <c:noMultiLvlLbl val="0"/>
      </c:catAx>
      <c:valAx>
        <c:axId val="8153538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エンゲージメント率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908677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フォロワー推移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フォロワー推移!B1</c:f>
              <c:strCache>
                <c:ptCount val="1"/>
                <c:pt idx="0">
                  <c:v>X フォロワー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フォロワー推移!$A$2:$A$11</c:f>
              <c:strCache>
                <c:ptCount val="10"/>
                <c:pt idx="0">
                  <c:v>2026/06/28</c:v>
                </c:pt>
                <c:pt idx="1">
                  <c:v>2026/07/05</c:v>
                </c:pt>
                <c:pt idx="2">
                  <c:v>2026/07/12</c:v>
                </c:pt>
                <c:pt idx="3">
                  <c:v>2026/07/19</c:v>
                </c:pt>
                <c:pt idx="4">
                  <c:v>2026/07/26</c:v>
                </c:pt>
                <c:pt idx="5">
                  <c:v>2026/08/02</c:v>
                </c:pt>
                <c:pt idx="6">
                  <c:v>2026/08/09</c:v>
                </c:pt>
                <c:pt idx="7">
                  <c:v>2026/08/16</c:v>
                </c:pt>
                <c:pt idx="8">
                  <c:v>2026/08/23</c:v>
                </c:pt>
                <c:pt idx="9">
                  <c:v>2026/08/30</c:v>
                </c:pt>
              </c:strCache>
            </c:strRef>
          </c:cat>
          <c:val>
            <c:numRef>
              <c:f>フォロワー推移!$B$2:$B$11</c:f>
              <c:numCache>
                <c:formatCode>#,##0</c:formatCode>
                <c:ptCount val="10"/>
                <c:pt idx="0">
                  <c:v>3200</c:v>
                </c:pt>
                <c:pt idx="1">
                  <c:v>3264</c:v>
                </c:pt>
                <c:pt idx="2">
                  <c:v>3370</c:v>
                </c:pt>
                <c:pt idx="3">
                  <c:v>3461</c:v>
                </c:pt>
                <c:pt idx="4">
                  <c:v>3523</c:v>
                </c:pt>
                <c:pt idx="5">
                  <c:v>3625</c:v>
                </c:pt>
                <c:pt idx="6">
                  <c:v>3731</c:v>
                </c:pt>
                <c:pt idx="7">
                  <c:v>3806</c:v>
                </c:pt>
                <c:pt idx="8">
                  <c:v>3905</c:v>
                </c:pt>
                <c:pt idx="9">
                  <c:v>3991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フォロワー推移!C1</c:f>
              <c:strCache>
                <c:ptCount val="1"/>
                <c:pt idx="0">
                  <c:v>Threads フォロワー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フォロワー推移!$A$2:$A$11</c:f>
              <c:strCache>
                <c:ptCount val="10"/>
                <c:pt idx="0">
                  <c:v>2026/06/28</c:v>
                </c:pt>
                <c:pt idx="1">
                  <c:v>2026/07/05</c:v>
                </c:pt>
                <c:pt idx="2">
                  <c:v>2026/07/12</c:v>
                </c:pt>
                <c:pt idx="3">
                  <c:v>2026/07/19</c:v>
                </c:pt>
                <c:pt idx="4">
                  <c:v>2026/07/26</c:v>
                </c:pt>
                <c:pt idx="5">
                  <c:v>2026/08/02</c:v>
                </c:pt>
                <c:pt idx="6">
                  <c:v>2026/08/09</c:v>
                </c:pt>
                <c:pt idx="7">
                  <c:v>2026/08/16</c:v>
                </c:pt>
                <c:pt idx="8">
                  <c:v>2026/08/23</c:v>
                </c:pt>
                <c:pt idx="9">
                  <c:v>2026/08/30</c:v>
                </c:pt>
              </c:strCache>
            </c:strRef>
          </c:cat>
          <c:val>
            <c:numRef>
              <c:f>フォロワー推移!$C$2:$C$11</c:f>
              <c:numCache>
                <c:formatCode>#,##0</c:formatCode>
                <c:ptCount val="10"/>
                <c:pt idx="0">
                  <c:v>850</c:v>
                </c:pt>
                <c:pt idx="1">
                  <c:v>934</c:v>
                </c:pt>
                <c:pt idx="2">
                  <c:v>1006</c:v>
                </c:pt>
                <c:pt idx="3">
                  <c:v>1044</c:v>
                </c:pt>
                <c:pt idx="4">
                  <c:v>1080</c:v>
                </c:pt>
                <c:pt idx="5">
                  <c:v>1150</c:v>
                </c:pt>
                <c:pt idx="6">
                  <c:v>1186</c:v>
                </c:pt>
                <c:pt idx="7">
                  <c:v>1259</c:v>
                </c:pt>
                <c:pt idx="8">
                  <c:v>1326</c:v>
                </c:pt>
                <c:pt idx="9">
                  <c:v>1382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4037793"/>
        <c:axId val="24263081"/>
      </c:lineChart>
      <c:catAx>
        <c:axId val="14037793"/>
        <c:scaling>
          <c:orientation val="minMax"/>
        </c:scaling>
        <c:delete val="0"/>
        <c:axPos val="b"/>
        <c:numFmt formatCode="mm/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63081"/>
        <c:crosses val="autoZero"/>
        <c:auto val="1"/>
        <c:lblAlgn val="ctr"/>
        <c:lblOffset val="100"/>
        <c:noMultiLvlLbl val="0"/>
      </c:catAx>
      <c:valAx>
        <c:axId val="2426308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フォロワー数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03779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134640</xdr:rowOff>
    </xdr:from>
    <xdr:to>
      <xdr:col>15</xdr:col>
      <xdr:colOff>447840</xdr:colOff>
      <xdr:row>15</xdr:row>
      <xdr:rowOff>177840</xdr:rowOff>
    </xdr:to>
    <xdr:graphicFrame>
      <xdr:nvGraphicFramePr>
        <xdr:cNvPr id="0" name="Chart 1"/>
        <xdr:cNvGraphicFramePr/>
      </xdr:nvGraphicFramePr>
      <xdr:xfrm>
        <a:off x="13204800" y="57168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18</xdr:row>
      <xdr:rowOff>134640</xdr:rowOff>
    </xdr:from>
    <xdr:to>
      <xdr:col>15</xdr:col>
      <xdr:colOff>447840</xdr:colOff>
      <xdr:row>31</xdr:row>
      <xdr:rowOff>177840</xdr:rowOff>
    </xdr:to>
    <xdr:graphicFrame>
      <xdr:nvGraphicFramePr>
        <xdr:cNvPr id="1" name="Chart 2"/>
        <xdr:cNvGraphicFramePr/>
      </xdr:nvGraphicFramePr>
      <xdr:xfrm>
        <a:off x="13204800" y="361944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34</xdr:row>
      <xdr:rowOff>134640</xdr:rowOff>
    </xdr:from>
    <xdr:to>
      <xdr:col>15</xdr:col>
      <xdr:colOff>447840</xdr:colOff>
      <xdr:row>47</xdr:row>
      <xdr:rowOff>177840</xdr:rowOff>
    </xdr:to>
    <xdr:graphicFrame>
      <xdr:nvGraphicFramePr>
        <xdr:cNvPr id="2" name="Chart 3"/>
        <xdr:cNvGraphicFramePr/>
      </xdr:nvGraphicFramePr>
      <xdr:xfrm>
        <a:off x="13204800" y="6667560"/>
        <a:ext cx="57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0</xdr:rowOff>
    </xdr:from>
    <xdr:to>
      <xdr:col>14</xdr:col>
      <xdr:colOff>408960</xdr:colOff>
      <xdr:row>16</xdr:row>
      <xdr:rowOff>21960</xdr:rowOff>
    </xdr:to>
    <xdr:graphicFrame>
      <xdr:nvGraphicFramePr>
        <xdr:cNvPr id="3" name="Chart 1"/>
        <xdr:cNvGraphicFramePr/>
      </xdr:nvGraphicFramePr>
      <xdr:xfrm>
        <a:off x="6804000" y="19044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1" min="2" style="0" width="13"/>
  </cols>
  <sheetData>
    <row r="1" customFormat="false" ht="19.4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customFormat="false" ht="15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customFormat="false" ht="15" hidden="false" customHeight="false" outlineLevel="0" collapsed="false">
      <c r="A3" s="3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customFormat="false" ht="15" hidden="false" customHeight="false" outlineLevel="0" collapsed="false">
      <c r="A5" s="4" t="s">
        <v>2</v>
      </c>
      <c r="B5" s="2"/>
      <c r="C5" s="2"/>
      <c r="D5" s="2"/>
      <c r="E5" s="2"/>
      <c r="F5" s="2"/>
      <c r="G5" s="2"/>
      <c r="H5" s="2"/>
      <c r="I5" s="2"/>
      <c r="J5" s="2"/>
      <c r="K5" s="2"/>
    </row>
    <row r="6" customFormat="false" ht="15" hidden="false" customHeight="false" outlineLevel="0" collapsed="false">
      <c r="A6" s="5" t="s">
        <v>3</v>
      </c>
      <c r="B6" s="2"/>
      <c r="C6" s="2"/>
      <c r="D6" s="2"/>
      <c r="E6" s="2"/>
      <c r="F6" s="2"/>
      <c r="G6" s="2"/>
      <c r="H6" s="2"/>
      <c r="I6" s="2"/>
      <c r="J6" s="2"/>
      <c r="K6" s="2"/>
    </row>
    <row r="7" customFormat="false" ht="15" hidden="false" customHeight="false" outlineLevel="0" collapsed="false">
      <c r="A7" s="5" t="s">
        <v>4</v>
      </c>
      <c r="B7" s="2"/>
      <c r="C7" s="2"/>
      <c r="D7" s="2"/>
      <c r="E7" s="2"/>
      <c r="F7" s="2"/>
      <c r="G7" s="2"/>
      <c r="H7" s="2"/>
      <c r="I7" s="2"/>
      <c r="J7" s="2"/>
      <c r="K7" s="2"/>
    </row>
    <row r="8" customFormat="false" ht="15" hidden="false" customHeight="false" outlineLevel="0" collapsed="false">
      <c r="A8" s="5" t="s">
        <v>5</v>
      </c>
      <c r="B8" s="2"/>
      <c r="C8" s="2"/>
      <c r="D8" s="2"/>
      <c r="E8" s="2"/>
      <c r="F8" s="2"/>
      <c r="G8" s="2"/>
      <c r="H8" s="2"/>
      <c r="I8" s="2"/>
      <c r="J8" s="2"/>
      <c r="K8" s="2"/>
    </row>
    <row r="9" customFormat="false" ht="1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customFormat="false" ht="15" hidden="false" customHeight="false" outlineLevel="0" collapsed="false">
      <c r="A10" s="4" t="s">
        <v>6</v>
      </c>
      <c r="B10" s="2"/>
      <c r="C10" s="2"/>
      <c r="D10" s="2"/>
      <c r="E10" s="2"/>
      <c r="F10" s="2"/>
      <c r="G10" s="2"/>
      <c r="H10" s="2"/>
      <c r="I10" s="2"/>
      <c r="J10" s="2"/>
      <c r="K10" s="2"/>
    </row>
    <row r="11" customFormat="false" ht="15" hidden="false" customHeight="false" outlineLevel="0" collapsed="false">
      <c r="A11" s="5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customFormat="false" ht="15" hidden="false" customHeight="false" outlineLevel="0" collapsed="false">
      <c r="A13" s="4" t="s">
        <v>8</v>
      </c>
      <c r="B13" s="2"/>
      <c r="C13" s="2"/>
      <c r="D13" s="2"/>
      <c r="E13" s="2"/>
      <c r="F13" s="2"/>
      <c r="G13" s="2"/>
      <c r="H13" s="2"/>
      <c r="I13" s="2"/>
      <c r="J13" s="2"/>
      <c r="K13" s="2"/>
    </row>
    <row r="14" customFormat="false" ht="15" hidden="false" customHeight="false" outlineLevel="0" collapsed="false">
      <c r="A14" s="6" t="s">
        <v>9</v>
      </c>
      <c r="B14" s="2"/>
      <c r="C14" s="2"/>
      <c r="D14" s="2"/>
      <c r="E14" s="2"/>
      <c r="F14" s="2"/>
      <c r="G14" s="2"/>
      <c r="H14" s="2"/>
      <c r="I14" s="2"/>
      <c r="J14" s="2"/>
      <c r="K14" s="2"/>
    </row>
    <row r="15" customFormat="false" ht="15" hidden="false" customHeight="false" outlineLevel="0" collapsed="false">
      <c r="A15" s="6" t="s">
        <v>10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customFormat="false" ht="15" hidden="false" customHeight="false" outlineLevel="0" collapsed="false">
      <c r="A16" s="6" t="s">
        <v>11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customFormat="false" ht="15" hidden="false" customHeight="false" outlineLevel="0" collapsed="false">
      <c r="A17" s="6" t="s">
        <v>12</v>
      </c>
      <c r="B17" s="2"/>
      <c r="C17" s="2"/>
      <c r="D17" s="2"/>
      <c r="E17" s="2"/>
      <c r="F17" s="2"/>
      <c r="G17" s="2"/>
      <c r="H17" s="2"/>
      <c r="I17" s="2"/>
      <c r="J17" s="2"/>
      <c r="K17" s="2"/>
    </row>
    <row r="18" customFormat="false" ht="15" hidden="false" customHeight="false" outlineLevel="0" collapsed="false">
      <c r="A18" s="6" t="s">
        <v>13</v>
      </c>
      <c r="B18" s="2"/>
      <c r="C18" s="2"/>
      <c r="D18" s="2"/>
      <c r="E18" s="2"/>
      <c r="F18" s="2"/>
      <c r="G18" s="2"/>
      <c r="H18" s="2"/>
      <c r="I18" s="2"/>
      <c r="J18" s="2"/>
      <c r="K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customFormat="false" ht="15" hidden="false" customHeight="false" outlineLevel="0" collapsed="false">
      <c r="A20" s="4" t="s">
        <v>14</v>
      </c>
      <c r="B20" s="2"/>
      <c r="C20" s="2"/>
      <c r="D20" s="2"/>
      <c r="E20" s="2"/>
      <c r="F20" s="2"/>
      <c r="G20" s="2"/>
      <c r="H20" s="2"/>
      <c r="I20" s="2"/>
      <c r="J20" s="2"/>
      <c r="K20" s="2"/>
    </row>
    <row r="21" customFormat="false" ht="15" hidden="false" customHeight="false" outlineLevel="0" collapsed="false">
      <c r="A21" s="5" t="s">
        <v>15</v>
      </c>
      <c r="B21" s="2"/>
      <c r="C21" s="2"/>
      <c r="D21" s="2"/>
      <c r="E21" s="2"/>
      <c r="F21" s="2"/>
      <c r="G21" s="2"/>
      <c r="H21" s="2"/>
      <c r="I21" s="2"/>
      <c r="J21" s="2"/>
      <c r="K21" s="2"/>
    </row>
    <row r="22" customFormat="false" ht="15" hidden="false" customHeight="false" outlineLevel="0" collapsed="false">
      <c r="A22" s="5" t="s">
        <v>16</v>
      </c>
      <c r="B22" s="2"/>
      <c r="C22" s="2"/>
      <c r="D22" s="2"/>
      <c r="E22" s="2"/>
      <c r="F22" s="2"/>
      <c r="G22" s="2"/>
      <c r="H22" s="2"/>
      <c r="I22" s="2"/>
      <c r="J22" s="2"/>
      <c r="K22" s="2"/>
    </row>
    <row r="23" customFormat="false" ht="15" hidden="false" customHeight="false" outlineLevel="0" collapsed="false">
      <c r="A23" s="5" t="s">
        <v>17</v>
      </c>
      <c r="B23" s="2"/>
      <c r="C23" s="2"/>
      <c r="D23" s="2"/>
      <c r="E23" s="2"/>
      <c r="F23" s="2"/>
      <c r="G23" s="2"/>
      <c r="H23" s="2"/>
      <c r="I23" s="2"/>
      <c r="J23" s="2"/>
      <c r="K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customFormat="false" ht="15" hidden="false" customHeight="false" outlineLevel="0" collapsed="false">
      <c r="A25" s="4" t="s">
        <v>18</v>
      </c>
      <c r="B25" s="2"/>
      <c r="C25" s="2"/>
      <c r="D25" s="2"/>
      <c r="E25" s="2"/>
      <c r="F25" s="2"/>
      <c r="G25" s="2"/>
      <c r="H25" s="2"/>
      <c r="I25" s="2"/>
      <c r="J25" s="2"/>
      <c r="K25" s="2"/>
    </row>
    <row r="26" customFormat="false" ht="15" hidden="false" customHeight="false" outlineLevel="0" collapsed="false">
      <c r="A26" s="7" t="s">
        <v>19</v>
      </c>
      <c r="B26" s="7" t="s">
        <v>20</v>
      </c>
      <c r="C26" s="8" t="s">
        <v>21</v>
      </c>
      <c r="D26" s="7" t="s">
        <v>22</v>
      </c>
      <c r="E26" s="7" t="s">
        <v>23</v>
      </c>
      <c r="F26" s="7" t="s">
        <v>24</v>
      </c>
      <c r="G26" s="7" t="s">
        <v>25</v>
      </c>
      <c r="H26" s="7" t="s">
        <v>26</v>
      </c>
      <c r="I26" s="7" t="s">
        <v>27</v>
      </c>
      <c r="J26" s="7" t="s">
        <v>28</v>
      </c>
      <c r="K26" s="7" t="s">
        <v>29</v>
      </c>
    </row>
    <row r="27" customFormat="false" ht="15" hidden="false" customHeight="false" outlineLevel="0" collapsed="false">
      <c r="A27" s="9" t="n">
        <v>46266</v>
      </c>
      <c r="B27" s="10" t="n">
        <v>0.875</v>
      </c>
      <c r="C27" s="11" t="s">
        <v>30</v>
      </c>
      <c r="D27" s="12" t="s">
        <v>31</v>
      </c>
      <c r="E27" s="12" t="s">
        <v>32</v>
      </c>
      <c r="F27" s="11" t="n">
        <v>2400</v>
      </c>
      <c r="G27" s="11" t="n">
        <v>38</v>
      </c>
      <c r="H27" s="11" t="n">
        <v>9</v>
      </c>
      <c r="I27" s="11" t="n">
        <v>4</v>
      </c>
      <c r="J27" s="11" t="n">
        <v>1</v>
      </c>
      <c r="K27" s="11" t="n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16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9.4" hidden="false" customHeight="false" outlineLevel="0" collapsed="false">
      <c r="A1" s="1" t="s">
        <v>33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5" t="str">
        <f aca="false">"対象期間: "&amp;TEXT(MIN(投稿データ!$A$2:$A$500),"yyyy/mm/dd")&amp;" 〜 "&amp;TEXT(MAX(投稿データ!$A$2:$A$500),"yyyy/mm/dd")</f>
        <v>対象期間: 2026/07/01 〜 2026/08/31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13" t="s">
        <v>34</v>
      </c>
      <c r="B4" s="2"/>
      <c r="C4" s="2"/>
      <c r="D4" s="2"/>
      <c r="E4" s="2"/>
      <c r="F4" s="2"/>
      <c r="G4" s="2"/>
    </row>
    <row r="5" customFormat="false" ht="15" hidden="false" customHeight="false" outlineLevel="0" collapsed="false">
      <c r="A5" s="7" t="s">
        <v>35</v>
      </c>
      <c r="B5" s="8" t="s">
        <v>30</v>
      </c>
      <c r="C5" s="8" t="s">
        <v>36</v>
      </c>
      <c r="D5" s="2"/>
      <c r="E5" s="2"/>
      <c r="F5" s="2"/>
      <c r="G5" s="2"/>
    </row>
    <row r="6" customFormat="false" ht="15" hidden="false" customHeight="false" outlineLevel="0" collapsed="false">
      <c r="A6" s="14" t="s">
        <v>37</v>
      </c>
      <c r="B6" s="15" t="n">
        <f aca="false">COUNTIFS(投稿データ!$C$2:$C$500,"X")</f>
        <v>61</v>
      </c>
      <c r="C6" s="15" t="n">
        <f aca="false">COUNTIFS(投稿データ!$C$2:$C$500,"Threads")</f>
        <v>42</v>
      </c>
      <c r="D6" s="2"/>
      <c r="E6" s="2"/>
      <c r="F6" s="2"/>
      <c r="G6" s="2"/>
    </row>
    <row r="7" customFormat="false" ht="15" hidden="false" customHeight="false" outlineLevel="0" collapsed="false">
      <c r="A7" s="14" t="s">
        <v>38</v>
      </c>
      <c r="B7" s="15" t="n">
        <f aca="false">SUMIFS(投稿データ!$F$2:$F$500,投稿データ!$C$2:$C$500,"X")</f>
        <v>155776</v>
      </c>
      <c r="C7" s="15" t="n">
        <f aca="false">SUMIFS(投稿データ!$F$2:$F$500,投稿データ!$C$2:$C$500,"Threads")</f>
        <v>58012</v>
      </c>
      <c r="D7" s="2"/>
      <c r="E7" s="2"/>
      <c r="F7" s="2"/>
      <c r="G7" s="2"/>
    </row>
    <row r="8" customFormat="false" ht="15" hidden="false" customHeight="false" outlineLevel="0" collapsed="false">
      <c r="A8" s="16" t="s">
        <v>39</v>
      </c>
      <c r="B8" s="15" t="n">
        <f aca="false">IF(COUNTIFS(投稿データ!$C$2:$C$500,"X")=0,0,SUMIFS(投稿データ!$F$2:$F$500,投稿データ!$C$2:$C$500,"X")/COUNTIFS(投稿データ!$C$2:$C$500,"X"))</f>
        <v>2553.70491803279</v>
      </c>
      <c r="C8" s="15" t="n">
        <f aca="false">IF(COUNTIFS(投稿データ!$C$2:$C$500,"Threads")=0,0,SUMIFS(投稿データ!$F$2:$F$500,投稿データ!$C$2:$C$500,"Threads")/COUNTIFS(投稿データ!$C$2:$C$500,"Threads"))</f>
        <v>1381.2380952381</v>
      </c>
      <c r="D8" s="2"/>
      <c r="E8" s="2"/>
      <c r="F8" s="2"/>
      <c r="G8" s="2"/>
    </row>
    <row r="9" customFormat="false" ht="15" hidden="false" customHeight="false" outlineLevel="0" collapsed="false">
      <c r="A9" s="14" t="s">
        <v>40</v>
      </c>
      <c r="B9" s="15" t="n">
        <f aca="false">SUMIFS(投稿データ!$L$2:$L$500,投稿データ!$C$2:$C$500,"X")</f>
        <v>3597</v>
      </c>
      <c r="C9" s="15" t="n">
        <f aca="false">SUMIFS(投稿データ!$L$2:$L$500,投稿データ!$C$2:$C$500,"Threads")</f>
        <v>2676</v>
      </c>
      <c r="D9" s="2"/>
      <c r="E9" s="2"/>
      <c r="F9" s="2"/>
      <c r="G9" s="2"/>
    </row>
    <row r="10" customFormat="false" ht="15" hidden="false" customHeight="false" outlineLevel="0" collapsed="false">
      <c r="A10" s="14" t="s">
        <v>41</v>
      </c>
      <c r="B10" s="17" t="n">
        <f aca="false">IF(SUMIFS(投稿データ!$F$2:$F$500,投稿データ!$C$2:$C$500,"X")=0,0,SUMIFS(投稿データ!$L$2:$L$500,投稿データ!$C$2:$C$500,"X")/SUMIFS(投稿データ!$F$2:$F$500,投稿データ!$C$2:$C$500,"X"))</f>
        <v>0.0230908483976993</v>
      </c>
      <c r="C10" s="17" t="n">
        <f aca="false">IF(SUMIFS(投稿データ!$F$2:$F$500,投稿データ!$C$2:$C$500,"Threads")=0,0,SUMIFS(投稿データ!$L$2:$L$500,投稿データ!$C$2:$C$500,"Threads")/SUMIFS(投稿データ!$F$2:$F$500,投稿データ!$C$2:$C$500,"Threads"))</f>
        <v>0.0461283872302282</v>
      </c>
      <c r="D10" s="2"/>
      <c r="E10" s="2"/>
      <c r="F10" s="2"/>
      <c r="G10" s="2"/>
    </row>
    <row r="11" customFormat="false" ht="15" hidden="false" customHeight="false" outlineLevel="0" collapsed="false">
      <c r="A11" s="14" t="s">
        <v>42</v>
      </c>
      <c r="B11" s="15" t="n">
        <f aca="false">SUMIFS(投稿データ!$G$2:$G$500,投稿データ!$C$2:$C$500,"X")</f>
        <v>2411</v>
      </c>
      <c r="C11" s="15" t="n">
        <f aca="false">SUMIFS(投稿データ!$G$2:$G$500,投稿データ!$C$2:$C$500,"Threads")</f>
        <v>1765</v>
      </c>
      <c r="D11" s="2"/>
      <c r="E11" s="2"/>
      <c r="F11" s="2"/>
      <c r="G11" s="2"/>
    </row>
    <row r="12" customFormat="false" ht="15" hidden="false" customHeight="false" outlineLevel="0" collapsed="false">
      <c r="A12" s="14" t="s">
        <v>43</v>
      </c>
      <c r="B12" s="15" t="n">
        <f aca="false">SUMIFS(投稿データ!$H$2:$H$500,投稿データ!$C$2:$C$500,"X")</f>
        <v>521</v>
      </c>
      <c r="C12" s="15" t="n">
        <f aca="false">SUMIFS(投稿データ!$H$2:$H$500,投稿データ!$C$2:$C$500,"Threads")</f>
        <v>208</v>
      </c>
      <c r="D12" s="2"/>
      <c r="E12" s="2"/>
      <c r="F12" s="2"/>
      <c r="G12" s="2"/>
    </row>
    <row r="13" customFormat="false" ht="15" hidden="false" customHeight="false" outlineLevel="0" collapsed="false">
      <c r="A13" s="14" t="s">
        <v>44</v>
      </c>
      <c r="B13" s="15" t="n">
        <f aca="false">SUMIFS(投稿データ!$I$2:$I$500,投稿データ!$C$2:$C$500,"X")</f>
        <v>322</v>
      </c>
      <c r="C13" s="15" t="n">
        <f aca="false">SUMIFS(投稿データ!$I$2:$I$500,投稿データ!$C$2:$C$500,"Threads")</f>
        <v>610</v>
      </c>
      <c r="D13" s="2"/>
      <c r="E13" s="2"/>
      <c r="F13" s="2"/>
      <c r="G13" s="2"/>
    </row>
    <row r="14" customFormat="false" ht="15" hidden="false" customHeight="false" outlineLevel="0" collapsed="false">
      <c r="A14" s="14" t="s">
        <v>45</v>
      </c>
      <c r="B14" s="15" t="n">
        <f aca="false">SUMIFS(投稿データ!$K$2:$K$500,投稿データ!$C$2:$C$500,"X")</f>
        <v>215</v>
      </c>
      <c r="C14" s="15" t="n">
        <f aca="false">SUMIFS(投稿データ!$K$2:$K$500,投稿データ!$C$2:$C$500,"Threads")</f>
        <v>0</v>
      </c>
      <c r="D14" s="2"/>
      <c r="E14" s="2"/>
      <c r="F14" s="2"/>
      <c r="G14" s="2"/>
    </row>
    <row r="15" customFormat="false" ht="15" hidden="false" customHeight="false" outlineLevel="0" collapsed="false">
      <c r="A15" s="14" t="s">
        <v>46</v>
      </c>
      <c r="B15" s="18" t="n">
        <f aca="false">INDEX(フォロワー推移!$B$2:$B$500,COUNT(フォロワー推移!$A$2:$A$500))</f>
        <v>3991</v>
      </c>
      <c r="C15" s="18" t="n">
        <f aca="false">INDEX(フォロワー推移!$C$2:$C$500,COUNT(フォロワー推移!$A$2:$A$500))</f>
        <v>1382</v>
      </c>
      <c r="D15" s="2"/>
      <c r="E15" s="2"/>
      <c r="F15" s="2"/>
      <c r="G15" s="2"/>
    </row>
    <row r="16" customFormat="false" ht="15" hidden="false" customHeight="false" outlineLevel="0" collapsed="false">
      <c r="A16" s="14" t="s">
        <v>47</v>
      </c>
      <c r="B16" s="19" t="n">
        <f aca="false">INDEX(フォロワー推移!$B$2:$B$500,COUNT(フォロワー推移!$A$2:$A$500))-フォロワー推移!$B$2</f>
        <v>791</v>
      </c>
      <c r="C16" s="19" t="n">
        <f aca="false">INDEX(フォロワー推移!$C$2:$C$500,COUNT(フォロワー推移!$A$2:$A$500))-フォロワー推移!$C$2</f>
        <v>532</v>
      </c>
      <c r="D16" s="2"/>
      <c r="E16" s="2"/>
      <c r="F16" s="2"/>
      <c r="G16" s="2"/>
    </row>
    <row r="17" customFormat="false" ht="15" hidden="false" customHeight="false" outlineLevel="0" collapsed="false">
      <c r="A17" s="2"/>
      <c r="B17" s="2"/>
      <c r="C17" s="2"/>
      <c r="D17" s="2"/>
      <c r="E17" s="2"/>
      <c r="F17" s="2"/>
      <c r="G17" s="2"/>
    </row>
    <row r="18" customFormat="false" ht="15" hidden="false" customHeight="false" outlineLevel="0" collapsed="false">
      <c r="A18" s="13" t="s">
        <v>48</v>
      </c>
      <c r="B18" s="2"/>
      <c r="C18" s="2"/>
      <c r="D18" s="2"/>
      <c r="E18" s="2"/>
      <c r="F18" s="2"/>
      <c r="G18" s="2"/>
    </row>
    <row r="19" customFormat="false" ht="15" hidden="false" customHeight="false" outlineLevel="0" collapsed="false">
      <c r="A19" s="7" t="s">
        <v>49</v>
      </c>
      <c r="B19" s="8" t="s">
        <v>50</v>
      </c>
      <c r="C19" s="8" t="s">
        <v>51</v>
      </c>
      <c r="D19" s="8" t="s">
        <v>52</v>
      </c>
      <c r="E19" s="8" t="s">
        <v>53</v>
      </c>
      <c r="F19" s="2"/>
      <c r="G19" s="2"/>
    </row>
    <row r="20" customFormat="false" ht="15" hidden="false" customHeight="false" outlineLevel="0" collapsed="false">
      <c r="A20" s="14" t="s">
        <v>54</v>
      </c>
      <c r="B20" s="15" t="n">
        <f aca="false">COUNTIFS(投稿データ!$C$2:$C$500,"X",投稿データ!$D$2:$D$500,$A20)</f>
        <v>24</v>
      </c>
      <c r="C20" s="17" t="n">
        <f aca="false">IF(SUMIFS(投稿データ!$F$2:$F$500,投稿データ!$C$2:$C$500,"X",投稿データ!$D$2:$D$500,$A20)=0,0,SUMIFS(投稿データ!$L$2:$L$500,投稿データ!$C$2:$C$500,"X",投稿データ!$D$2:$D$500,$A20)/SUMIFS(投稿データ!$F$2:$F$500,投稿データ!$C$2:$C$500,"X",投稿データ!$D$2:$D$500,$A20))</f>
        <v>0.0148573296765171</v>
      </c>
      <c r="D20" s="15" t="n">
        <f aca="false">COUNTIFS(投稿データ!$C$2:$C$500,"Threads",投稿データ!$D$2:$D$500,$A20)</f>
        <v>10</v>
      </c>
      <c r="E20" s="17" t="n">
        <f aca="false">IF(SUMIFS(投稿データ!$F$2:$F$500,投稿データ!$C$2:$C$500,"Threads",投稿データ!$D$2:$D$500,$A20)=0,0,SUMIFS(投稿データ!$L$2:$L$500,投稿データ!$C$2:$C$500,"Threads",投稿データ!$D$2:$D$500,$A20)/SUMIFS(投稿データ!$F$2:$F$500,投稿データ!$C$2:$C$500,"Threads",投稿データ!$D$2:$D$500,$A20))</f>
        <v>0.0597291782600631</v>
      </c>
      <c r="F20" s="2"/>
      <c r="G20" s="2"/>
    </row>
    <row r="21" customFormat="false" ht="15" hidden="false" customHeight="false" outlineLevel="0" collapsed="false">
      <c r="A21" s="14" t="s">
        <v>31</v>
      </c>
      <c r="B21" s="15" t="n">
        <f aca="false">COUNTIFS(投稿データ!$C$2:$C$500,"X",投稿データ!$D$2:$D$500,$A21)</f>
        <v>17</v>
      </c>
      <c r="C21" s="17" t="n">
        <f aca="false">IF(SUMIFS(投稿データ!$F$2:$F$500,投稿データ!$C$2:$C$500,"X",投稿データ!$D$2:$D$500,$A21)=0,0,SUMIFS(投稿データ!$L$2:$L$500,投稿データ!$C$2:$C$500,"X",投稿データ!$D$2:$D$500,$A21)/SUMIFS(投稿データ!$F$2:$F$500,投稿データ!$C$2:$C$500,"X",投稿データ!$D$2:$D$500,$A21))</f>
        <v>0.0259630606860158</v>
      </c>
      <c r="D21" s="15" t="n">
        <f aca="false">COUNTIFS(投稿データ!$C$2:$C$500,"Threads",投稿データ!$D$2:$D$500,$A21)</f>
        <v>15</v>
      </c>
      <c r="E21" s="17" t="n">
        <f aca="false">IF(SUMIFS(投稿データ!$F$2:$F$500,投稿データ!$C$2:$C$500,"Threads",投稿データ!$D$2:$D$500,$A21)=0,0,SUMIFS(投稿データ!$L$2:$L$500,投稿データ!$C$2:$C$500,"Threads",投稿データ!$D$2:$D$500,$A21)/SUMIFS(投稿データ!$F$2:$F$500,投稿データ!$C$2:$C$500,"Threads",投稿データ!$D$2:$D$500,$A21))</f>
        <v>0.0452622673434856</v>
      </c>
      <c r="F21" s="2"/>
      <c r="G21" s="2"/>
    </row>
    <row r="22" customFormat="false" ht="15" hidden="false" customHeight="false" outlineLevel="0" collapsed="false">
      <c r="A22" s="14" t="s">
        <v>55</v>
      </c>
      <c r="B22" s="15" t="n">
        <f aca="false">COUNTIFS(投稿データ!$C$2:$C$500,"X",投稿データ!$D$2:$D$500,$A22)</f>
        <v>15</v>
      </c>
      <c r="C22" s="17" t="n">
        <f aca="false">IF(SUMIFS(投稿データ!$F$2:$F$500,投稿データ!$C$2:$C$500,"X",投稿データ!$D$2:$D$500,$A22)=0,0,SUMIFS(投稿データ!$L$2:$L$500,投稿データ!$C$2:$C$500,"X",投稿データ!$D$2:$D$500,$A22)/SUMIFS(投稿データ!$F$2:$F$500,投稿データ!$C$2:$C$500,"X",投稿データ!$D$2:$D$500,$A22))</f>
        <v>0.0320793907223633</v>
      </c>
      <c r="D22" s="15" t="n">
        <f aca="false">COUNTIFS(投稿データ!$C$2:$C$500,"Threads",投稿データ!$D$2:$D$500,$A22)</f>
        <v>13</v>
      </c>
      <c r="E22" s="17" t="n">
        <f aca="false">IF(SUMIFS(投稿データ!$F$2:$F$500,投稿データ!$C$2:$C$500,"Threads",投稿データ!$D$2:$D$500,$A22)=0,0,SUMIFS(投稿データ!$L$2:$L$500,投稿データ!$C$2:$C$500,"Threads",投稿データ!$D$2:$D$500,$A22)/SUMIFS(投稿データ!$F$2:$F$500,投稿データ!$C$2:$C$500,"Threads",投稿データ!$D$2:$D$500,$A22))</f>
        <v>0.0396662161368044</v>
      </c>
      <c r="F22" s="2"/>
      <c r="G22" s="2"/>
    </row>
    <row r="23" customFormat="false" ht="15" hidden="false" customHeight="false" outlineLevel="0" collapsed="false">
      <c r="A23" s="14" t="s">
        <v>56</v>
      </c>
      <c r="B23" s="15" t="n">
        <f aca="false">COUNTIFS(投稿データ!$C$2:$C$500,"X",投稿データ!$D$2:$D$500,$A23)</f>
        <v>5</v>
      </c>
      <c r="C23" s="17" t="n">
        <f aca="false">IF(SUMIFS(投稿データ!$F$2:$F$500,投稿データ!$C$2:$C$500,"X",投稿データ!$D$2:$D$500,$A23)=0,0,SUMIFS(投稿データ!$L$2:$L$500,投稿データ!$C$2:$C$500,"X",投稿データ!$D$2:$D$500,$A23)/SUMIFS(投稿データ!$F$2:$F$500,投稿データ!$C$2:$C$500,"X",投稿データ!$D$2:$D$500,$A23))</f>
        <v>0.0158777711204314</v>
      </c>
      <c r="D23" s="15" t="n">
        <f aca="false">COUNTIFS(投稿データ!$C$2:$C$500,"Threads",投稿データ!$D$2:$D$500,$A23)</f>
        <v>4</v>
      </c>
      <c r="E23" s="17" t="n">
        <f aca="false">IF(SUMIFS(投稿データ!$F$2:$F$500,投稿データ!$C$2:$C$500,"Threads",投稿データ!$D$2:$D$500,$A23)=0,0,SUMIFS(投稿データ!$L$2:$L$500,投稿データ!$C$2:$C$500,"Threads",投稿データ!$D$2:$D$500,$A23)/SUMIFS(投稿データ!$F$2:$F$500,投稿データ!$C$2:$C$500,"Threads",投稿データ!$D$2:$D$500,$A23))</f>
        <v>0.0203045685279188</v>
      </c>
      <c r="F23" s="2"/>
      <c r="G23" s="2"/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  <c r="G24" s="2"/>
    </row>
    <row r="25" customFormat="false" ht="15" hidden="false" customHeight="false" outlineLevel="0" collapsed="false">
      <c r="A25" s="13" t="s">
        <v>57</v>
      </c>
      <c r="B25" s="2"/>
      <c r="C25" s="2"/>
      <c r="D25" s="2"/>
      <c r="E25" s="2"/>
      <c r="F25" s="2"/>
      <c r="G25" s="2"/>
    </row>
    <row r="26" customFormat="false" ht="15" hidden="false" customHeight="false" outlineLevel="0" collapsed="false">
      <c r="A26" s="7" t="s">
        <v>49</v>
      </c>
      <c r="B26" s="8" t="s">
        <v>50</v>
      </c>
      <c r="C26" s="8" t="s">
        <v>51</v>
      </c>
      <c r="D26" s="8" t="s">
        <v>52</v>
      </c>
      <c r="E26" s="8" t="s">
        <v>53</v>
      </c>
      <c r="F26" s="2"/>
      <c r="G26" s="2"/>
    </row>
    <row r="27" customFormat="false" ht="15" hidden="false" customHeight="false" outlineLevel="0" collapsed="false">
      <c r="A27" s="14" t="s">
        <v>58</v>
      </c>
      <c r="B27" s="15" t="n">
        <f aca="false">COUNTIFS(投稿データ!$C$2:$C$500,"X",投稿データ!$N$2:$N$500,$A27)</f>
        <v>9</v>
      </c>
      <c r="C27" s="17" t="n">
        <f aca="false">IF(SUMIFS(投稿データ!$F$2:$F$500,投稿データ!$C$2:$C$500,"X",投稿データ!$N$2:$N$500,$A27)=0,0,SUMIFS(投稿データ!$L$2:$L$500,投稿データ!$C$2:$C$500,"X",投稿データ!$N$2:$N$500,$A27)/SUMIFS(投稿データ!$F$2:$F$500,投稿データ!$C$2:$C$500,"X",投稿データ!$N$2:$N$500,$A27))</f>
        <v>0.030323691954353</v>
      </c>
      <c r="D27" s="15" t="n">
        <f aca="false">COUNTIFS(投稿データ!$C$2:$C$500,"Threads",投稿データ!$N$2:$N$500,$A27)</f>
        <v>4</v>
      </c>
      <c r="E27" s="17" t="n">
        <f aca="false">IF(SUMIFS(投稿データ!$F$2:$F$500,投稿データ!$C$2:$C$500,"Threads",投稿データ!$N$2:$N$500,$A27)=0,0,SUMIFS(投稿データ!$L$2:$L$500,投稿データ!$C$2:$C$500,"Threads",投稿データ!$N$2:$N$500,$A27)/SUMIFS(投稿データ!$F$2:$F$500,投稿データ!$C$2:$C$500,"Threads",投稿データ!$N$2:$N$500,$A27))</f>
        <v>0.033686837180287</v>
      </c>
      <c r="F27" s="2"/>
      <c r="G27" s="2"/>
    </row>
    <row r="28" customFormat="false" ht="15" hidden="false" customHeight="false" outlineLevel="0" collapsed="false">
      <c r="A28" s="14" t="s">
        <v>59</v>
      </c>
      <c r="B28" s="15" t="n">
        <f aca="false">COUNTIFS(投稿データ!$C$2:$C$500,"X",投稿データ!$N$2:$N$500,$A28)</f>
        <v>7</v>
      </c>
      <c r="C28" s="17" t="n">
        <f aca="false">IF(SUMIFS(投稿データ!$F$2:$F$500,投稿データ!$C$2:$C$500,"X",投稿データ!$N$2:$N$500,$A28)=0,0,SUMIFS(投稿データ!$L$2:$L$500,投稿データ!$C$2:$C$500,"X",投稿データ!$N$2:$N$500,$A28)/SUMIFS(投稿データ!$F$2:$F$500,投稿データ!$C$2:$C$500,"X",投稿データ!$N$2:$N$500,$A28))</f>
        <v>0.0215287379024294</v>
      </c>
      <c r="D28" s="15" t="n">
        <f aca="false">COUNTIFS(投稿データ!$C$2:$C$500,"Threads",投稿データ!$N$2:$N$500,$A28)</f>
        <v>7</v>
      </c>
      <c r="E28" s="17" t="n">
        <f aca="false">IF(SUMIFS(投稿データ!$F$2:$F$500,投稿データ!$C$2:$C$500,"Threads",投稿データ!$N$2:$N$500,$A28)=0,0,SUMIFS(投稿データ!$L$2:$L$500,投稿データ!$C$2:$C$500,"Threads",投稿データ!$N$2:$N$500,$A28)/SUMIFS(投稿データ!$F$2:$F$500,投稿データ!$C$2:$C$500,"Threads",投稿データ!$N$2:$N$500,$A28))</f>
        <v>0.0560731235718052</v>
      </c>
      <c r="F28" s="2"/>
      <c r="G28" s="2"/>
    </row>
    <row r="29" customFormat="false" ht="15" hidden="false" customHeight="false" outlineLevel="0" collapsed="false">
      <c r="A29" s="14" t="s">
        <v>60</v>
      </c>
      <c r="B29" s="15" t="n">
        <f aca="false">COUNTIFS(投稿データ!$C$2:$C$500,"X",投稿データ!$N$2:$N$500,$A29)</f>
        <v>9</v>
      </c>
      <c r="C29" s="17" t="n">
        <f aca="false">IF(SUMIFS(投稿データ!$F$2:$F$500,投稿データ!$C$2:$C$500,"X",投稿データ!$N$2:$N$500,$A29)=0,0,SUMIFS(投稿データ!$L$2:$L$500,投稿データ!$C$2:$C$500,"X",投稿データ!$N$2:$N$500,$A29)/SUMIFS(投稿データ!$F$2:$F$500,投稿データ!$C$2:$C$500,"X",投稿データ!$N$2:$N$500,$A29))</f>
        <v>0.0257411606617956</v>
      </c>
      <c r="D29" s="15" t="n">
        <f aca="false">COUNTIFS(投稿データ!$C$2:$C$500,"Threads",投稿データ!$N$2:$N$500,$A29)</f>
        <v>6</v>
      </c>
      <c r="E29" s="17" t="n">
        <f aca="false">IF(SUMIFS(投稿データ!$F$2:$F$500,投稿データ!$C$2:$C$500,"Threads",投稿データ!$N$2:$N$500,$A29)=0,0,SUMIFS(投稿データ!$L$2:$L$500,投稿データ!$C$2:$C$500,"Threads",投稿データ!$N$2:$N$500,$A29)/SUMIFS(投稿データ!$F$2:$F$500,投稿データ!$C$2:$C$500,"Threads",投稿データ!$N$2:$N$500,$A29))</f>
        <v>0.031294051310967</v>
      </c>
      <c r="F29" s="2"/>
      <c r="G29" s="2"/>
    </row>
    <row r="30" customFormat="false" ht="15" hidden="false" customHeight="false" outlineLevel="0" collapsed="false">
      <c r="A30" s="14" t="s">
        <v>61</v>
      </c>
      <c r="B30" s="15" t="n">
        <f aca="false">COUNTIFS(投稿データ!$C$2:$C$500,"X",投稿データ!$N$2:$N$500,$A30)</f>
        <v>9</v>
      </c>
      <c r="C30" s="17" t="n">
        <f aca="false">IF(SUMIFS(投稿データ!$F$2:$F$500,投稿データ!$C$2:$C$500,"X",投稿データ!$N$2:$N$500,$A30)=0,0,SUMIFS(投稿データ!$L$2:$L$500,投稿データ!$C$2:$C$500,"X",投稿データ!$N$2:$N$500,$A30)/SUMIFS(投稿データ!$F$2:$F$500,投稿データ!$C$2:$C$500,"X",投稿データ!$N$2:$N$500,$A30))</f>
        <v>0.0197289016804382</v>
      </c>
      <c r="D30" s="15" t="n">
        <f aca="false">COUNTIFS(投稿データ!$C$2:$C$500,"Threads",投稿データ!$N$2:$N$500,$A30)</f>
        <v>3</v>
      </c>
      <c r="E30" s="17" t="n">
        <f aca="false">IF(SUMIFS(投稿データ!$F$2:$F$500,投稿データ!$C$2:$C$500,"Threads",投稿データ!$N$2:$N$500,$A30)=0,0,SUMIFS(投稿データ!$L$2:$L$500,投稿データ!$C$2:$C$500,"Threads",投稿データ!$N$2:$N$500,$A30)/SUMIFS(投稿データ!$F$2:$F$500,投稿データ!$C$2:$C$500,"Threads",投稿データ!$N$2:$N$500,$A30))</f>
        <v>0.0531617235590375</v>
      </c>
      <c r="F30" s="2"/>
      <c r="G30" s="2"/>
    </row>
    <row r="31" customFormat="false" ht="15" hidden="false" customHeight="false" outlineLevel="0" collapsed="false">
      <c r="A31" s="14" t="s">
        <v>62</v>
      </c>
      <c r="B31" s="15" t="n">
        <f aca="false">COUNTIFS(投稿データ!$C$2:$C$500,"X",投稿データ!$N$2:$N$500,$A31)</f>
        <v>9</v>
      </c>
      <c r="C31" s="17" t="n">
        <f aca="false">IF(SUMIFS(投稿データ!$F$2:$F$500,投稿データ!$C$2:$C$500,"X",投稿データ!$N$2:$N$500,$A31)=0,0,SUMIFS(投稿データ!$L$2:$L$500,投稿データ!$C$2:$C$500,"X",投稿データ!$N$2:$N$500,$A31)/SUMIFS(投稿データ!$F$2:$F$500,投稿データ!$C$2:$C$500,"X",投稿データ!$N$2:$N$500,$A31))</f>
        <v>0.0161773267903186</v>
      </c>
      <c r="D31" s="15" t="n">
        <f aca="false">COUNTIFS(投稿データ!$C$2:$C$500,"Threads",投稿データ!$N$2:$N$500,$A31)</f>
        <v>7</v>
      </c>
      <c r="E31" s="17" t="n">
        <f aca="false">IF(SUMIFS(投稿データ!$F$2:$F$500,投稿データ!$C$2:$C$500,"Threads",投稿データ!$N$2:$N$500,$A31)=0,0,SUMIFS(投稿データ!$L$2:$L$500,投稿データ!$C$2:$C$500,"Threads",投稿データ!$N$2:$N$500,$A31)/SUMIFS(投稿データ!$F$2:$F$500,投稿データ!$C$2:$C$500,"Threads",投稿データ!$N$2:$N$500,$A31))</f>
        <v>0.0413552566018934</v>
      </c>
      <c r="F31" s="2"/>
      <c r="G31" s="2"/>
    </row>
    <row r="32" customFormat="false" ht="15" hidden="false" customHeight="false" outlineLevel="0" collapsed="false">
      <c r="A32" s="14" t="s">
        <v>63</v>
      </c>
      <c r="B32" s="15" t="n">
        <f aca="false">COUNTIFS(投稿データ!$C$2:$C$500,"X",投稿データ!$N$2:$N$500,$A32)</f>
        <v>9</v>
      </c>
      <c r="C32" s="17" t="n">
        <f aca="false">IF(SUMIFS(投稿データ!$F$2:$F$500,投稿データ!$C$2:$C$500,"X",投稿データ!$N$2:$N$500,$A32)=0,0,SUMIFS(投稿データ!$L$2:$L$500,投稿データ!$C$2:$C$500,"X",投稿データ!$N$2:$N$500,$A32)/SUMIFS(投稿データ!$F$2:$F$500,投稿データ!$C$2:$C$500,"X",投稿データ!$N$2:$N$500,$A32))</f>
        <v>0.0263344188022087</v>
      </c>
      <c r="D32" s="15" t="n">
        <f aca="false">COUNTIFS(投稿データ!$C$2:$C$500,"Threads",投稿データ!$N$2:$N$500,$A32)</f>
        <v>8</v>
      </c>
      <c r="E32" s="17" t="n">
        <f aca="false">IF(SUMIFS(投稿データ!$F$2:$F$500,投稿データ!$C$2:$C$500,"Threads",投稿データ!$N$2:$N$500,$A32)=0,0,SUMIFS(投稿データ!$L$2:$L$500,投稿データ!$C$2:$C$500,"Threads",投稿データ!$N$2:$N$500,$A32)/SUMIFS(投稿データ!$F$2:$F$500,投稿データ!$C$2:$C$500,"Threads",投稿データ!$N$2:$N$500,$A32))</f>
        <v>0.038150289017341</v>
      </c>
      <c r="F32" s="2"/>
      <c r="G32" s="2"/>
    </row>
    <row r="33" customFormat="false" ht="15" hidden="false" customHeight="false" outlineLevel="0" collapsed="false">
      <c r="A33" s="14" t="s">
        <v>64</v>
      </c>
      <c r="B33" s="15" t="n">
        <f aca="false">COUNTIFS(投稿データ!$C$2:$C$500,"X",投稿データ!$N$2:$N$500,$A33)</f>
        <v>9</v>
      </c>
      <c r="C33" s="17" t="n">
        <f aca="false">IF(SUMIFS(投稿データ!$F$2:$F$500,投稿データ!$C$2:$C$500,"X",投稿データ!$N$2:$N$500,$A33)=0,0,SUMIFS(投稿データ!$L$2:$L$500,投稿データ!$C$2:$C$500,"X",投稿データ!$N$2:$N$500,$A33)/SUMIFS(投稿データ!$F$2:$F$500,投稿データ!$C$2:$C$500,"X",投稿データ!$N$2:$N$500,$A33))</f>
        <v>0.0198825124265703</v>
      </c>
      <c r="D33" s="15" t="n">
        <f aca="false">COUNTIFS(投稿データ!$C$2:$C$500,"Threads",投稿データ!$N$2:$N$500,$A33)</f>
        <v>7</v>
      </c>
      <c r="E33" s="17" t="n">
        <f aca="false">IF(SUMIFS(投稿データ!$F$2:$F$500,投稿データ!$C$2:$C$500,"Threads",投稿データ!$N$2:$N$500,$A33)=0,0,SUMIFS(投稿データ!$L$2:$L$500,投稿データ!$C$2:$C$500,"Threads",投稿データ!$N$2:$N$500,$A33)/SUMIFS(投稿データ!$F$2:$F$500,投稿データ!$C$2:$C$500,"Threads",投稿データ!$N$2:$N$500,$A33))</f>
        <v>0.0591022658740415</v>
      </c>
      <c r="F33" s="2"/>
      <c r="G33" s="2"/>
    </row>
    <row r="34" customFormat="false" ht="15" hidden="false" customHeight="false" outlineLevel="0" collapsed="false">
      <c r="A34" s="2"/>
      <c r="B34" s="2"/>
      <c r="C34" s="2"/>
      <c r="D34" s="2"/>
      <c r="E34" s="2"/>
      <c r="F34" s="2"/>
      <c r="G34" s="2"/>
    </row>
    <row r="35" customFormat="false" ht="15" hidden="false" customHeight="false" outlineLevel="0" collapsed="false">
      <c r="A35" s="13" t="s">
        <v>65</v>
      </c>
      <c r="B35" s="2"/>
      <c r="C35" s="2"/>
      <c r="D35" s="2"/>
      <c r="E35" s="2"/>
      <c r="F35" s="2"/>
      <c r="G35" s="2"/>
    </row>
    <row r="36" customFormat="false" ht="15" hidden="false" customHeight="false" outlineLevel="0" collapsed="false">
      <c r="A36" s="7" t="s">
        <v>49</v>
      </c>
      <c r="B36" s="8" t="s">
        <v>50</v>
      </c>
      <c r="C36" s="8" t="s">
        <v>51</v>
      </c>
      <c r="D36" s="8" t="s">
        <v>52</v>
      </c>
      <c r="E36" s="8" t="s">
        <v>53</v>
      </c>
      <c r="F36" s="2"/>
      <c r="G36" s="2"/>
    </row>
    <row r="37" customFormat="false" ht="15" hidden="false" customHeight="false" outlineLevel="0" collapsed="false">
      <c r="A37" s="14" t="s">
        <v>66</v>
      </c>
      <c r="B37" s="15" t="n">
        <f aca="false">COUNTIFS(投稿データ!$C$2:$C$500,"X",投稿データ!$O$2:$O$500,$A37)</f>
        <v>17</v>
      </c>
      <c r="C37" s="17" t="n">
        <f aca="false">IF(SUMIFS(投稿データ!$F$2:$F$500,投稿データ!$C$2:$C$500,"X",投稿データ!$O$2:$O$500,$A37)=0,0,SUMIFS(投稿データ!$L$2:$L$500,投稿データ!$C$2:$C$500,"X",投稿データ!$O$2:$O$500,$A37)/SUMIFS(投稿データ!$F$2:$F$500,投稿データ!$C$2:$C$500,"X",投稿データ!$O$2:$O$500,$A37))</f>
        <v>0.0191834402742375</v>
      </c>
      <c r="D37" s="15" t="n">
        <f aca="false">COUNTIFS(投稿データ!$C$2:$C$500,"Threads",投稿データ!$O$2:$O$500,$A37)</f>
        <v>9</v>
      </c>
      <c r="E37" s="17" t="n">
        <f aca="false">IF(SUMIFS(投稿データ!$F$2:$F$500,投稿データ!$C$2:$C$500,"Threads",投稿データ!$O$2:$O$500,$A37)=0,0,SUMIFS(投稿データ!$L$2:$L$500,投稿データ!$C$2:$C$500,"Threads",投稿データ!$O$2:$O$500,$A37)/SUMIFS(投稿データ!$F$2:$F$500,投稿データ!$C$2:$C$500,"Threads",投稿データ!$O$2:$O$500,$A37))</f>
        <v>0.0415496911847277</v>
      </c>
      <c r="F37" s="2"/>
      <c r="G37" s="2"/>
    </row>
    <row r="38" customFormat="false" ht="15" hidden="false" customHeight="false" outlineLevel="0" collapsed="false">
      <c r="A38" s="14" t="s">
        <v>67</v>
      </c>
      <c r="B38" s="15" t="n">
        <f aca="false">COUNTIFS(投稿データ!$C$2:$C$500,"X",投稿データ!$O$2:$O$500,$A38)</f>
        <v>11</v>
      </c>
      <c r="C38" s="17" t="n">
        <f aca="false">IF(SUMIFS(投稿データ!$F$2:$F$500,投稿データ!$C$2:$C$500,"X",投稿データ!$O$2:$O$500,$A38)=0,0,SUMIFS(投稿データ!$L$2:$L$500,投稿データ!$C$2:$C$500,"X",投稿データ!$O$2:$O$500,$A38)/SUMIFS(投稿データ!$F$2:$F$500,投稿データ!$C$2:$C$500,"X",投稿データ!$O$2:$O$500,$A38))</f>
        <v>0.0228400467016929</v>
      </c>
      <c r="D38" s="15" t="n">
        <f aca="false">COUNTIFS(投稿データ!$C$2:$C$500,"Threads",投稿データ!$O$2:$O$500,$A38)</f>
        <v>10</v>
      </c>
      <c r="E38" s="17" t="n">
        <f aca="false">IF(SUMIFS(投稿データ!$F$2:$F$500,投稿データ!$C$2:$C$500,"Threads",投稿データ!$O$2:$O$500,$A38)=0,0,SUMIFS(投稿データ!$L$2:$L$500,投稿データ!$C$2:$C$500,"Threads",投稿データ!$O$2:$O$500,$A38)/SUMIFS(投稿データ!$F$2:$F$500,投稿データ!$C$2:$C$500,"Threads",投稿データ!$O$2:$O$500,$A38))</f>
        <v>0.0479155982123232</v>
      </c>
      <c r="F38" s="2"/>
      <c r="G38" s="2"/>
    </row>
    <row r="39" customFormat="false" ht="15" hidden="false" customHeight="false" outlineLevel="0" collapsed="false">
      <c r="A39" s="14" t="s">
        <v>68</v>
      </c>
      <c r="B39" s="15" t="n">
        <f aca="false">COUNTIFS(投稿データ!$C$2:$C$500,"X",投稿データ!$O$2:$O$500,$A39)</f>
        <v>9</v>
      </c>
      <c r="C39" s="17" t="n">
        <f aca="false">IF(SUMIFS(投稿データ!$F$2:$F$500,投稿データ!$C$2:$C$500,"X",投稿データ!$O$2:$O$500,$A39)=0,0,SUMIFS(投稿データ!$L$2:$L$500,投稿データ!$C$2:$C$500,"X",投稿データ!$O$2:$O$500,$A39)/SUMIFS(投稿データ!$F$2:$F$500,投稿データ!$C$2:$C$500,"X",投稿データ!$O$2:$O$500,$A39))</f>
        <v>0.0172009382329945</v>
      </c>
      <c r="D39" s="15" t="n">
        <f aca="false">COUNTIFS(投稿データ!$C$2:$C$500,"Threads",投稿データ!$O$2:$O$500,$A39)</f>
        <v>3</v>
      </c>
      <c r="E39" s="17" t="n">
        <f aca="false">IF(SUMIFS(投稿データ!$F$2:$F$500,投稿データ!$C$2:$C$500,"Threads",投稿データ!$O$2:$O$500,$A39)=0,0,SUMIFS(投稿データ!$L$2:$L$500,投稿データ!$C$2:$C$500,"Threads",投稿データ!$O$2:$O$500,$A39)/SUMIFS(投稿データ!$F$2:$F$500,投稿データ!$C$2:$C$500,"Threads",投稿データ!$O$2:$O$500,$A39))</f>
        <v>0.0422922393740749</v>
      </c>
      <c r="F39" s="2"/>
      <c r="G39" s="2"/>
    </row>
    <row r="40" customFormat="false" ht="15" hidden="false" customHeight="false" outlineLevel="0" collapsed="false">
      <c r="A40" s="14" t="s">
        <v>69</v>
      </c>
      <c r="B40" s="15" t="n">
        <f aca="false">COUNTIFS(投稿データ!$C$2:$C$500,"X",投稿データ!$O$2:$O$500,$A40)</f>
        <v>21</v>
      </c>
      <c r="C40" s="17" t="n">
        <f aca="false">IF(SUMIFS(投稿データ!$F$2:$F$500,投稿データ!$C$2:$C$500,"X",投稿データ!$O$2:$O$500,$A40)=0,0,SUMIFS(投稿データ!$L$2:$L$500,投稿データ!$C$2:$C$500,"X",投稿データ!$O$2:$O$500,$A40)/SUMIFS(投稿データ!$F$2:$F$500,投稿データ!$C$2:$C$500,"X",投稿データ!$O$2:$O$500,$A40))</f>
        <v>0.0288232319583905</v>
      </c>
      <c r="D40" s="15" t="n">
        <f aca="false">COUNTIFS(投稿データ!$C$2:$C$500,"Threads",投稿データ!$O$2:$O$500,$A40)</f>
        <v>19</v>
      </c>
      <c r="E40" s="17" t="n">
        <f aca="false">IF(SUMIFS(投稿データ!$F$2:$F$500,投稿データ!$C$2:$C$500,"Threads",投稿データ!$O$2:$O$500,$A40)=0,0,SUMIFS(投稿データ!$L$2:$L$500,投稿データ!$C$2:$C$500,"Threads",投稿データ!$O$2:$O$500,$A40)/SUMIFS(投稿データ!$F$2:$F$500,投稿データ!$C$2:$C$500,"Threads",投稿データ!$O$2:$O$500,$A40))</f>
        <v>0.0502185141040922</v>
      </c>
      <c r="F40" s="2"/>
      <c r="G40" s="2"/>
    </row>
    <row r="41" customFormat="false" ht="15" hidden="false" customHeight="false" outlineLevel="0" collapsed="false">
      <c r="A41" s="14" t="s">
        <v>70</v>
      </c>
      <c r="B41" s="15" t="n">
        <f aca="false">COUNTIFS(投稿データ!$C$2:$C$500,"X",投稿データ!$O$2:$O$500,$A41)</f>
        <v>3</v>
      </c>
      <c r="C41" s="17" t="n">
        <f aca="false">IF(SUMIFS(投稿データ!$F$2:$F$500,投稿データ!$C$2:$C$500,"X",投稿データ!$O$2:$O$500,$A41)=0,0,SUMIFS(投稿データ!$L$2:$L$500,投稿データ!$C$2:$C$500,"X",投稿データ!$O$2:$O$500,$A41)/SUMIFS(投稿データ!$F$2:$F$500,投稿データ!$C$2:$C$500,"X",投稿データ!$O$2:$O$500,$A41))</f>
        <v>0.0207154040708178</v>
      </c>
      <c r="D41" s="15" t="n">
        <f aca="false">COUNTIFS(投稿データ!$C$2:$C$500,"Threads",投稿データ!$O$2:$O$500,$A41)</f>
        <v>1</v>
      </c>
      <c r="E41" s="17" t="n">
        <f aca="false">IF(SUMIFS(投稿データ!$F$2:$F$500,投稿データ!$C$2:$C$500,"Threads",投稿データ!$O$2:$O$500,$A41)=0,0,SUMIFS(投稿データ!$L$2:$L$500,投稿データ!$C$2:$C$500,"Threads",投稿データ!$O$2:$O$500,$A41)/SUMIFS(投稿データ!$F$2:$F$500,投稿データ!$C$2:$C$500,"Threads",投稿データ!$O$2:$O$500,$A41))</f>
        <v>0.0200300450676014</v>
      </c>
      <c r="F41" s="2"/>
      <c r="G41" s="2"/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</row>
    <row r="43" customFormat="false" ht="15" hidden="false" customHeight="false" outlineLevel="0" collapsed="false">
      <c r="A43" s="13" t="s">
        <v>71</v>
      </c>
      <c r="B43" s="2"/>
      <c r="C43" s="2"/>
      <c r="D43" s="2"/>
      <c r="E43" s="2"/>
      <c r="F43" s="2"/>
      <c r="G43" s="2"/>
    </row>
    <row r="44" customFormat="false" ht="15" hidden="false" customHeight="false" outlineLevel="0" collapsed="false">
      <c r="A44" s="7" t="s">
        <v>72</v>
      </c>
      <c r="B44" s="7" t="s">
        <v>19</v>
      </c>
      <c r="C44" s="8" t="s">
        <v>21</v>
      </c>
      <c r="D44" s="7" t="s">
        <v>22</v>
      </c>
      <c r="E44" s="7" t="s">
        <v>23</v>
      </c>
      <c r="F44" s="7" t="s">
        <v>24</v>
      </c>
      <c r="G44" s="7" t="s">
        <v>41</v>
      </c>
    </row>
    <row r="45" customFormat="false" ht="15" hidden="false" customHeight="false" outlineLevel="0" collapsed="false">
      <c r="A45" s="20" t="n">
        <v>1</v>
      </c>
      <c r="B45" s="21" t="n">
        <f aca="false">IFERROR(INDEX(投稿データ!$A$2:$A$500,MATCH(LARGE(投稿データ!$P$2:$P$500,1),投稿データ!$P$2:$P$500,0)),"")</f>
        <v>46231</v>
      </c>
      <c r="C45" s="22" t="str">
        <f aca="false">IFERROR(INDEX(投稿データ!$C$2:$C$500,MATCH(LARGE(投稿データ!$P$2:$P$500,1),投稿データ!$P$2:$P$500,0)),"")</f>
        <v>Threads</v>
      </c>
      <c r="D45" s="22" t="str">
        <f aca="false">IFERROR(INDEX(投稿データ!$D$2:$D$500,MATCH(LARGE(投稿データ!$P$2:$P$500,1),投稿データ!$P$2:$P$500,0)),"")</f>
        <v>テキスト</v>
      </c>
      <c r="E45" s="22" t="str">
        <f aca="false">IFERROR(INDEX(投稿データ!$E$2:$E$500,MATCH(LARGE(投稿データ!$P$2:$P$500,1),投稿データ!$P$2:$P$500,0)),"")</f>
        <v>今日のひとこと</v>
      </c>
      <c r="F45" s="18" t="n">
        <f aca="false">IFERROR(INDEX(投稿データ!$F$2:$F$500,MATCH(LARGE(投稿データ!$P$2:$P$500,1),投稿データ!$P$2:$P$500,0)),"")</f>
        <v>1977</v>
      </c>
      <c r="G45" s="23" t="n">
        <f aca="false">IFERROR(INDEX(投稿データ!$M$2:$M$500,MATCH(LARGE(投稿データ!$P$2:$P$500,1),投稿データ!$P$2:$P$500,0)),"")</f>
        <v>0.0844714213454729</v>
      </c>
    </row>
    <row r="46" customFormat="false" ht="15" hidden="false" customHeight="false" outlineLevel="0" collapsed="false">
      <c r="A46" s="20" t="n">
        <v>2</v>
      </c>
      <c r="B46" s="21" t="n">
        <f aca="false">IFERROR(INDEX(投稿データ!$A$2:$A$500,MATCH(LARGE(投稿データ!$P$2:$P$500,2),投稿データ!$P$2:$P$500,0)),"")</f>
        <v>46257</v>
      </c>
      <c r="C46" s="22" t="str">
        <f aca="false">IFERROR(INDEX(投稿データ!$C$2:$C$500,MATCH(LARGE(投稿データ!$P$2:$P$500,2),投稿データ!$P$2:$P$500,0)),"")</f>
        <v>Threads</v>
      </c>
      <c r="D46" s="22" t="str">
        <f aca="false">IFERROR(INDEX(投稿データ!$D$2:$D$500,MATCH(LARGE(投稿データ!$P$2:$P$500,2),投稿データ!$P$2:$P$500,0)),"")</f>
        <v>画像</v>
      </c>
      <c r="E46" s="22" t="str">
        <f aca="false">IFERROR(INDEX(投稿データ!$E$2:$E$500,MATCH(LARGE(投稿データ!$P$2:$P$500,2),投稿データ!$P$2:$P$500,0)),"")</f>
        <v>開発の裏話</v>
      </c>
      <c r="F46" s="18" t="n">
        <f aca="false">IFERROR(INDEX(投稿データ!$F$2:$F$500,MATCH(LARGE(投稿データ!$P$2:$P$500,2),投稿データ!$P$2:$P$500,0)),"")</f>
        <v>1600</v>
      </c>
      <c r="G46" s="23" t="n">
        <f aca="false">IFERROR(INDEX(投稿データ!$M$2:$M$500,MATCH(LARGE(投稿データ!$P$2:$P$500,2),投稿データ!$P$2:$P$500,0)),"")</f>
        <v>0.08125</v>
      </c>
    </row>
    <row r="47" customFormat="false" ht="15" hidden="false" customHeight="false" outlineLevel="0" collapsed="false">
      <c r="A47" s="20" t="n">
        <v>3</v>
      </c>
      <c r="B47" s="21" t="n">
        <f aca="false">IFERROR(INDEX(投稿データ!$A$2:$A$500,MATCH(LARGE(投稿データ!$P$2:$P$500,3),投稿データ!$P$2:$P$500,0)),"")</f>
        <v>46264</v>
      </c>
      <c r="C47" s="22" t="str">
        <f aca="false">IFERROR(INDEX(投稿データ!$C$2:$C$500,MATCH(LARGE(投稿データ!$P$2:$P$500,3),投稿データ!$P$2:$P$500,0)),"")</f>
        <v>Threads</v>
      </c>
      <c r="D47" s="22" t="str">
        <f aca="false">IFERROR(INDEX(投稿データ!$D$2:$D$500,MATCH(LARGE(投稿データ!$P$2:$P$500,3),投稿データ!$P$2:$P$500,0)),"")</f>
        <v>テキスト</v>
      </c>
      <c r="E47" s="22" t="str">
        <f aca="false">IFERROR(INDEX(投稿データ!$E$2:$E$500,MATCH(LARGE(投稿データ!$P$2:$P$500,3),投稿データ!$P$2:$P$500,0)),"")</f>
        <v>ノウハウ共有</v>
      </c>
      <c r="F47" s="18" t="n">
        <f aca="false">IFERROR(INDEX(投稿データ!$F$2:$F$500,MATCH(LARGE(投稿データ!$P$2:$P$500,3),投稿データ!$P$2:$P$500,0)),"")</f>
        <v>1911</v>
      </c>
      <c r="G47" s="23" t="n">
        <f aca="false">IFERROR(INDEX(投稿データ!$M$2:$M$500,MATCH(LARGE(投稿データ!$P$2:$P$500,3),投稿データ!$P$2:$P$500,0)),"")</f>
        <v>0.0795395081109367</v>
      </c>
    </row>
    <row r="48" customFormat="false" ht="15" hidden="false" customHeight="false" outlineLevel="0" collapsed="false">
      <c r="A48" s="20" t="n">
        <v>4</v>
      </c>
      <c r="B48" s="21" t="n">
        <f aca="false">IFERROR(INDEX(投稿データ!$A$2:$A$500,MATCH(LARGE(投稿データ!$P$2:$P$500,4),投稿データ!$P$2:$P$500,0)),"")</f>
        <v>46245</v>
      </c>
      <c r="C48" s="22" t="str">
        <f aca="false">IFERROR(INDEX(投稿データ!$C$2:$C$500,MATCH(LARGE(投稿データ!$P$2:$P$500,4),投稿データ!$P$2:$P$500,0)),"")</f>
        <v>Threads</v>
      </c>
      <c r="D48" s="22" t="str">
        <f aca="false">IFERROR(INDEX(投稿データ!$D$2:$D$500,MATCH(LARGE(投稿データ!$P$2:$P$500,4),投稿データ!$P$2:$P$500,0)),"")</f>
        <v>画像</v>
      </c>
      <c r="E48" s="22" t="str">
        <f aca="false">IFERROR(INDEX(投稿データ!$E$2:$E$500,MATCH(LARGE(投稿データ!$P$2:$P$500,4),投稿データ!$P$2:$P$500,0)),"")</f>
        <v>ノウハウ共有</v>
      </c>
      <c r="F48" s="18" t="n">
        <f aca="false">IFERROR(INDEX(投稿データ!$F$2:$F$500,MATCH(LARGE(投稿データ!$P$2:$P$500,4),投稿データ!$P$2:$P$500,0)),"")</f>
        <v>2104</v>
      </c>
      <c r="G48" s="23" t="n">
        <f aca="false">IFERROR(INDEX(投稿データ!$M$2:$M$500,MATCH(LARGE(投稿データ!$P$2:$P$500,4),投稿データ!$P$2:$P$500,0)),"")</f>
        <v>0.0665399239543726</v>
      </c>
    </row>
    <row r="49" customFormat="false" ht="15" hidden="false" customHeight="false" outlineLevel="0" collapsed="false">
      <c r="A49" s="20" t="n">
        <v>5</v>
      </c>
      <c r="B49" s="21" t="n">
        <f aca="false">IFERROR(INDEX(投稿データ!$A$2:$A$500,MATCH(LARGE(投稿データ!$P$2:$P$500,5),投稿データ!$P$2:$P$500,0)),"")</f>
        <v>46250</v>
      </c>
      <c r="C49" s="22" t="str">
        <f aca="false">IFERROR(INDEX(投稿データ!$C$2:$C$500,MATCH(LARGE(投稿データ!$P$2:$P$500,5),投稿データ!$P$2:$P$500,0)),"")</f>
        <v>Threads</v>
      </c>
      <c r="D49" s="22" t="str">
        <f aca="false">IFERROR(INDEX(投稿データ!$D$2:$D$500,MATCH(LARGE(投稿データ!$P$2:$P$500,5),投稿データ!$P$2:$P$500,0)),"")</f>
        <v>動画</v>
      </c>
      <c r="E49" s="22" t="str">
        <f aca="false">IFERROR(INDEX(投稿データ!$E$2:$E$500,MATCH(LARGE(投稿データ!$P$2:$P$500,5),投稿データ!$P$2:$P$500,0)),"")</f>
        <v>新商品の紹介</v>
      </c>
      <c r="F49" s="18" t="n">
        <f aca="false">IFERROR(INDEX(投稿データ!$F$2:$F$500,MATCH(LARGE(投稿データ!$P$2:$P$500,5),投稿データ!$P$2:$P$500,0)),"")</f>
        <v>1409</v>
      </c>
      <c r="G49" s="23" t="n">
        <f aca="false">IFERROR(INDEX(投稿データ!$M$2:$M$500,MATCH(LARGE(投稿データ!$P$2:$P$500,5),投稿データ!$P$2:$P$500,0)),"")</f>
        <v>0.0624556422995032</v>
      </c>
    </row>
    <row r="50" customFormat="false" ht="15" hidden="false" customHeight="false" outlineLevel="0" collapsed="false">
      <c r="A50" s="2"/>
      <c r="B50" s="2"/>
      <c r="C50" s="2"/>
      <c r="D50" s="2"/>
      <c r="E50" s="2"/>
      <c r="F50" s="2"/>
      <c r="G50" s="2"/>
    </row>
    <row r="51" customFormat="false" ht="15" hidden="false" customHeight="false" outlineLevel="0" collapsed="false">
      <c r="A51" s="24" t="s">
        <v>73</v>
      </c>
      <c r="B51" s="2"/>
      <c r="C51" s="2"/>
      <c r="D51" s="2"/>
      <c r="E51" s="2"/>
      <c r="F51" s="2"/>
      <c r="G5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1"/>
    <col collapsed="false" customWidth="true" hidden="false" outlineLevel="0" max="5" min="5" style="0" width="24"/>
    <col collapsed="false" customWidth="true" hidden="false" outlineLevel="0" max="6" min="6" style="0" width="15"/>
    <col collapsed="false" customWidth="true" hidden="false" outlineLevel="0" max="10" min="7" style="0" width="9"/>
    <col collapsed="false" customWidth="true" hidden="false" outlineLevel="0" max="11" min="11" style="0" width="13"/>
    <col collapsed="false" customWidth="true" hidden="false" outlineLevel="0" max="12" min="12" style="0" width="18"/>
    <col collapsed="false" customWidth="true" hidden="false" outlineLevel="0" max="13" min="13" style="0" width="17"/>
    <col collapsed="false" customWidth="true" hidden="false" outlineLevel="0" max="14" min="14" style="0" width="7"/>
    <col collapsed="false" customWidth="true" hidden="false" outlineLevel="0" max="15" min="15" style="0" width="14"/>
    <col collapsed="false" customWidth="true" hidden="false" outlineLevel="0" max="16" min="16" style="0" width="13"/>
  </cols>
  <sheetData>
    <row r="1" customFormat="false" ht="15" hidden="false" customHeight="false" outlineLevel="0" collapsed="false">
      <c r="A1" s="7" t="s">
        <v>19</v>
      </c>
      <c r="B1" s="7" t="s">
        <v>20</v>
      </c>
      <c r="C1" s="8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74</v>
      </c>
      <c r="M1" s="7" t="s">
        <v>41</v>
      </c>
      <c r="N1" s="7" t="s">
        <v>75</v>
      </c>
      <c r="O1" s="7" t="s">
        <v>76</v>
      </c>
      <c r="P1" s="7" t="s">
        <v>77</v>
      </c>
    </row>
    <row r="2" customFormat="false" ht="15" hidden="false" customHeight="false" outlineLevel="0" collapsed="false">
      <c r="A2" s="25" t="n">
        <v>46204</v>
      </c>
      <c r="B2" s="26" t="n">
        <v>0.5</v>
      </c>
      <c r="C2" s="27" t="s">
        <v>30</v>
      </c>
      <c r="D2" s="28" t="s">
        <v>54</v>
      </c>
      <c r="E2" s="28" t="s">
        <v>78</v>
      </c>
      <c r="F2" s="29" t="n">
        <v>1671</v>
      </c>
      <c r="G2" s="29" t="n">
        <v>12</v>
      </c>
      <c r="H2" s="29" t="n">
        <v>2</v>
      </c>
      <c r="I2" s="29" t="n">
        <v>1</v>
      </c>
      <c r="J2" s="29" t="n">
        <v>0</v>
      </c>
      <c r="K2" s="29" t="n">
        <v>1</v>
      </c>
      <c r="L2" s="30" t="n">
        <f aca="false">IF(A2="","",SUM(G2:K2))</f>
        <v>16</v>
      </c>
      <c r="M2" s="31" t="n">
        <f aca="false">IF(A2="","",IF(F2=0,0,L2/F2))</f>
        <v>0.00957510472770796</v>
      </c>
      <c r="N2" s="5" t="str">
        <f aca="false">IF(A2="","",CHOOSE(WEEKDAY(A2,2),"月","火","水","木","金","土","日"))</f>
        <v>水</v>
      </c>
      <c r="O2" s="5" t="str">
        <f aca="false">IF(B2="","",IF(HOUR(B2)&lt;6,"深夜(0-5時)",IF(HOUR(B2)&lt;11,"朝(6-10時)",IF(HOUR(B2)&lt;15,"昼(11-14時)",IF(HOUR(B2)&lt;19,"夕方(15-18時)","夜(19-23時)")))))</f>
        <v>昼(11-14時)</v>
      </c>
      <c r="P2" s="32" t="n">
        <f aca="false">IF(M2="","",M2+ROW()/1000000000)</f>
        <v>0.00957510672770796</v>
      </c>
    </row>
    <row r="3" customFormat="false" ht="15" hidden="false" customHeight="false" outlineLevel="0" collapsed="false">
      <c r="A3" s="25" t="n">
        <v>46205</v>
      </c>
      <c r="B3" s="26" t="n">
        <v>0.833333333333333</v>
      </c>
      <c r="C3" s="27" t="s">
        <v>30</v>
      </c>
      <c r="D3" s="28" t="s">
        <v>31</v>
      </c>
      <c r="E3" s="28" t="s">
        <v>79</v>
      </c>
      <c r="F3" s="29" t="n">
        <v>2767</v>
      </c>
      <c r="G3" s="29" t="n">
        <v>64</v>
      </c>
      <c r="H3" s="29" t="n">
        <v>14</v>
      </c>
      <c r="I3" s="29" t="n">
        <v>9</v>
      </c>
      <c r="J3" s="29" t="n">
        <v>4</v>
      </c>
      <c r="K3" s="29" t="n">
        <v>5</v>
      </c>
      <c r="L3" s="30" t="n">
        <f aca="false">IF(A3="","",SUM(G3:K3))</f>
        <v>96</v>
      </c>
      <c r="M3" s="31" t="n">
        <f aca="false">IF(A3="","",IF(F3=0,0,L3/F3))</f>
        <v>0.0346946151066137</v>
      </c>
      <c r="N3" s="5" t="str">
        <f aca="false">IF(A3="","",CHOOSE(WEEKDAY(A3,2),"月","火","水","木","金","土","日"))</f>
        <v>木</v>
      </c>
      <c r="O3" s="5" t="str">
        <f aca="false">IF(B3="","",IF(HOUR(B3)&lt;6,"深夜(0-5時)",IF(HOUR(B3)&lt;11,"朝(6-10時)",IF(HOUR(B3)&lt;15,"昼(11-14時)",IF(HOUR(B3)&lt;19,"夕方(15-18時)","夜(19-23時)")))))</f>
        <v>夜(19-23時)</v>
      </c>
      <c r="P3" s="32" t="n">
        <f aca="false">IF(M3="","",M3+ROW()/1000000000)</f>
        <v>0.0346946181066137</v>
      </c>
    </row>
    <row r="4" customFormat="false" ht="15" hidden="false" customHeight="false" outlineLevel="0" collapsed="false">
      <c r="A4" s="25" t="n">
        <v>46206</v>
      </c>
      <c r="B4" s="26" t="n">
        <v>0.71875</v>
      </c>
      <c r="C4" s="27" t="s">
        <v>30</v>
      </c>
      <c r="D4" s="28" t="s">
        <v>31</v>
      </c>
      <c r="E4" s="28" t="s">
        <v>78</v>
      </c>
      <c r="F4" s="29" t="n">
        <v>1743</v>
      </c>
      <c r="G4" s="29" t="n">
        <v>29</v>
      </c>
      <c r="H4" s="29" t="n">
        <v>6</v>
      </c>
      <c r="I4" s="29" t="n">
        <v>4</v>
      </c>
      <c r="J4" s="29" t="n">
        <v>1</v>
      </c>
      <c r="K4" s="29" t="n">
        <v>2</v>
      </c>
      <c r="L4" s="30" t="n">
        <f aca="false">IF(A4="","",SUM(G4:K4))</f>
        <v>42</v>
      </c>
      <c r="M4" s="31" t="n">
        <f aca="false">IF(A4="","",IF(F4=0,0,L4/F4))</f>
        <v>0.0240963855421687</v>
      </c>
      <c r="N4" s="5" t="str">
        <f aca="false">IF(A4="","",CHOOSE(WEEKDAY(A4,2),"月","火","水","木","金","土","日"))</f>
        <v>金</v>
      </c>
      <c r="O4" s="5" t="str">
        <f aca="false">IF(B4="","",IF(HOUR(B4)&lt;6,"深夜(0-5時)",IF(HOUR(B4)&lt;11,"朝(6-10時)",IF(HOUR(B4)&lt;15,"昼(11-14時)",IF(HOUR(B4)&lt;19,"夕方(15-18時)","夜(19-23時)")))))</f>
        <v>夕方(15-18時)</v>
      </c>
      <c r="P4" s="32" t="n">
        <f aca="false">IF(M4="","",M4+ROW()/1000000000)</f>
        <v>0.0240963895421687</v>
      </c>
    </row>
    <row r="5" customFormat="false" ht="15" hidden="false" customHeight="false" outlineLevel="0" collapsed="false">
      <c r="A5" s="25" t="n">
        <v>46206</v>
      </c>
      <c r="B5" s="26" t="n">
        <v>0.885416666666667</v>
      </c>
      <c r="C5" s="27" t="s">
        <v>36</v>
      </c>
      <c r="D5" s="28" t="s">
        <v>55</v>
      </c>
      <c r="E5" s="28" t="s">
        <v>80</v>
      </c>
      <c r="F5" s="29" t="n">
        <v>854</v>
      </c>
      <c r="G5" s="29" t="n">
        <v>30</v>
      </c>
      <c r="H5" s="29" t="n">
        <v>3</v>
      </c>
      <c r="I5" s="29" t="n">
        <v>10</v>
      </c>
      <c r="J5" s="29" t="n">
        <v>1</v>
      </c>
      <c r="K5" s="29" t="n">
        <v>0</v>
      </c>
      <c r="L5" s="30" t="n">
        <f aca="false">IF(A5="","",SUM(G5:K5))</f>
        <v>44</v>
      </c>
      <c r="M5" s="31" t="n">
        <f aca="false">IF(A5="","",IF(F5=0,0,L5/F5))</f>
        <v>0.0515222482435597</v>
      </c>
      <c r="N5" s="5" t="str">
        <f aca="false">IF(A5="","",CHOOSE(WEEKDAY(A5,2),"月","火","水","木","金","土","日"))</f>
        <v>金</v>
      </c>
      <c r="O5" s="5" t="str">
        <f aca="false">IF(B5="","",IF(HOUR(B5)&lt;6,"深夜(0-5時)",IF(HOUR(B5)&lt;11,"朝(6-10時)",IF(HOUR(B5)&lt;15,"昼(11-14時)",IF(HOUR(B5)&lt;19,"夕方(15-18時)","夜(19-23時)")))))</f>
        <v>夜(19-23時)</v>
      </c>
      <c r="P5" s="32" t="n">
        <f aca="false">IF(M5="","",M5+ROW()/1000000000)</f>
        <v>0.0515222532435597</v>
      </c>
    </row>
    <row r="6" customFormat="false" ht="15" hidden="false" customHeight="false" outlineLevel="0" collapsed="false">
      <c r="A6" s="25" t="n">
        <v>46207</v>
      </c>
      <c r="B6" s="26" t="n">
        <v>0.875</v>
      </c>
      <c r="C6" s="27" t="s">
        <v>30</v>
      </c>
      <c r="D6" s="28" t="s">
        <v>54</v>
      </c>
      <c r="E6" s="28" t="s">
        <v>80</v>
      </c>
      <c r="F6" s="29" t="n">
        <v>2121</v>
      </c>
      <c r="G6" s="29" t="n">
        <v>37</v>
      </c>
      <c r="H6" s="29" t="n">
        <v>8</v>
      </c>
      <c r="I6" s="29" t="n">
        <v>5</v>
      </c>
      <c r="J6" s="29" t="n">
        <v>2</v>
      </c>
      <c r="K6" s="29" t="n">
        <v>3</v>
      </c>
      <c r="L6" s="30" t="n">
        <f aca="false">IF(A6="","",SUM(G6:K6))</f>
        <v>55</v>
      </c>
      <c r="M6" s="31" t="n">
        <f aca="false">IF(A6="","",IF(F6=0,0,L6/F6))</f>
        <v>0.0259311645450259</v>
      </c>
      <c r="N6" s="5" t="str">
        <f aca="false">IF(A6="","",CHOOSE(WEEKDAY(A6,2),"月","火","水","木","金","土","日"))</f>
        <v>土</v>
      </c>
      <c r="O6" s="5" t="str">
        <f aca="false">IF(B6="","",IF(HOUR(B6)&lt;6,"深夜(0-5時)",IF(HOUR(B6)&lt;11,"朝(6-10時)",IF(HOUR(B6)&lt;15,"昼(11-14時)",IF(HOUR(B6)&lt;19,"夕方(15-18時)","夜(19-23時)")))))</f>
        <v>夜(19-23時)</v>
      </c>
      <c r="P6" s="32" t="n">
        <f aca="false">IF(M6="","",M6+ROW()/1000000000)</f>
        <v>0.0259311705450259</v>
      </c>
    </row>
    <row r="7" customFormat="false" ht="15" hidden="false" customHeight="false" outlineLevel="0" collapsed="false">
      <c r="A7" s="25" t="n">
        <v>46207</v>
      </c>
      <c r="B7" s="26" t="n">
        <v>0.989583333333333</v>
      </c>
      <c r="C7" s="27" t="s">
        <v>36</v>
      </c>
      <c r="D7" s="28" t="s">
        <v>31</v>
      </c>
      <c r="E7" s="28" t="s">
        <v>78</v>
      </c>
      <c r="F7" s="29" t="n">
        <v>991</v>
      </c>
      <c r="G7" s="29" t="n">
        <v>27</v>
      </c>
      <c r="H7" s="29" t="n">
        <v>3</v>
      </c>
      <c r="I7" s="29" t="n">
        <v>9</v>
      </c>
      <c r="J7" s="29" t="n">
        <v>1</v>
      </c>
      <c r="K7" s="29" t="n">
        <v>0</v>
      </c>
      <c r="L7" s="30" t="n">
        <f aca="false">IF(A7="","",SUM(G7:K7))</f>
        <v>40</v>
      </c>
      <c r="M7" s="31" t="n">
        <f aca="false">IF(A7="","",IF(F7=0,0,L7/F7))</f>
        <v>0.0403632694248234</v>
      </c>
      <c r="N7" s="5" t="str">
        <f aca="false">IF(A7="","",CHOOSE(WEEKDAY(A7,2),"月","火","水","木","金","土","日"))</f>
        <v>土</v>
      </c>
      <c r="O7" s="5" t="str">
        <f aca="false">IF(B7="","",IF(HOUR(B7)&lt;6,"深夜(0-5時)",IF(HOUR(B7)&lt;11,"朝(6-10時)",IF(HOUR(B7)&lt;15,"昼(11-14時)",IF(HOUR(B7)&lt;19,"夕方(15-18時)","夜(19-23時)")))))</f>
        <v>夜(19-23時)</v>
      </c>
      <c r="P7" s="32" t="n">
        <f aca="false">IF(M7="","",M7+ROW()/1000000000)</f>
        <v>0.0403632764248234</v>
      </c>
    </row>
    <row r="8" customFormat="false" ht="15" hidden="false" customHeight="false" outlineLevel="0" collapsed="false">
      <c r="A8" s="25" t="n">
        <v>46208</v>
      </c>
      <c r="B8" s="26" t="n">
        <v>0.947916666666667</v>
      </c>
      <c r="C8" s="27" t="s">
        <v>30</v>
      </c>
      <c r="D8" s="28" t="s">
        <v>54</v>
      </c>
      <c r="E8" s="28" t="s">
        <v>81</v>
      </c>
      <c r="F8" s="29" t="n">
        <v>2328</v>
      </c>
      <c r="G8" s="29" t="n">
        <v>38</v>
      </c>
      <c r="H8" s="29" t="n">
        <v>8</v>
      </c>
      <c r="I8" s="29" t="n">
        <v>5</v>
      </c>
      <c r="J8" s="29" t="n">
        <v>2</v>
      </c>
      <c r="K8" s="29" t="n">
        <v>3</v>
      </c>
      <c r="L8" s="30" t="n">
        <f aca="false">IF(A8="","",SUM(G8:K8))</f>
        <v>56</v>
      </c>
      <c r="M8" s="31" t="n">
        <f aca="false">IF(A8="","",IF(F8=0,0,L8/F8))</f>
        <v>0.0240549828178694</v>
      </c>
      <c r="N8" s="5" t="str">
        <f aca="false">IF(A8="","",CHOOSE(WEEKDAY(A8,2),"月","火","水","木","金","土","日"))</f>
        <v>日</v>
      </c>
      <c r="O8" s="5" t="str">
        <f aca="false">IF(B8="","",IF(HOUR(B8)&lt;6,"深夜(0-5時)",IF(HOUR(B8)&lt;11,"朝(6-10時)",IF(HOUR(B8)&lt;15,"昼(11-14時)",IF(HOUR(B8)&lt;19,"夕方(15-18時)","夜(19-23時)")))))</f>
        <v>夜(19-23時)</v>
      </c>
      <c r="P8" s="32" t="n">
        <f aca="false">IF(M8="","",M8+ROW()/1000000000)</f>
        <v>0.0240549908178694</v>
      </c>
    </row>
    <row r="9" customFormat="false" ht="15" hidden="false" customHeight="false" outlineLevel="0" collapsed="false">
      <c r="A9" s="25" t="n">
        <v>46208</v>
      </c>
      <c r="B9" s="26" t="n">
        <v>0.895833333333333</v>
      </c>
      <c r="C9" s="27" t="s">
        <v>36</v>
      </c>
      <c r="D9" s="28" t="s">
        <v>55</v>
      </c>
      <c r="E9" s="28" t="s">
        <v>32</v>
      </c>
      <c r="F9" s="29" t="n">
        <v>1391</v>
      </c>
      <c r="G9" s="29" t="n">
        <v>41</v>
      </c>
      <c r="H9" s="29" t="n">
        <v>5</v>
      </c>
      <c r="I9" s="29" t="n">
        <v>14</v>
      </c>
      <c r="J9" s="29" t="n">
        <v>2</v>
      </c>
      <c r="K9" s="29" t="n">
        <v>0</v>
      </c>
      <c r="L9" s="30" t="n">
        <f aca="false">IF(A9="","",SUM(G9:K9))</f>
        <v>62</v>
      </c>
      <c r="M9" s="31" t="n">
        <f aca="false">IF(A9="","",IF(F9=0,0,L9/F9))</f>
        <v>0.0445722501797268</v>
      </c>
      <c r="N9" s="5" t="str">
        <f aca="false">IF(A9="","",CHOOSE(WEEKDAY(A9,2),"月","火","水","木","金","土","日"))</f>
        <v>日</v>
      </c>
      <c r="O9" s="5" t="str">
        <f aca="false">IF(B9="","",IF(HOUR(B9)&lt;6,"深夜(0-5時)",IF(HOUR(B9)&lt;11,"朝(6-10時)",IF(HOUR(B9)&lt;15,"昼(11-14時)",IF(HOUR(B9)&lt;19,"夕方(15-18時)","夜(19-23時)")))))</f>
        <v>夜(19-23時)</v>
      </c>
      <c r="P9" s="32" t="n">
        <f aca="false">IF(M9="","",M9+ROW()/1000000000)</f>
        <v>0.0445722591797268</v>
      </c>
    </row>
    <row r="10" customFormat="false" ht="15" hidden="false" customHeight="false" outlineLevel="0" collapsed="false">
      <c r="A10" s="25" t="n">
        <v>46209</v>
      </c>
      <c r="B10" s="26" t="n">
        <v>0.947916666666667</v>
      </c>
      <c r="C10" s="27" t="s">
        <v>30</v>
      </c>
      <c r="D10" s="28" t="s">
        <v>31</v>
      </c>
      <c r="E10" s="28" t="s">
        <v>32</v>
      </c>
      <c r="F10" s="29" t="n">
        <v>3019</v>
      </c>
      <c r="G10" s="29" t="n">
        <v>74</v>
      </c>
      <c r="H10" s="29" t="n">
        <v>16</v>
      </c>
      <c r="I10" s="29" t="n">
        <v>10</v>
      </c>
      <c r="J10" s="29" t="n">
        <v>4</v>
      </c>
      <c r="K10" s="29" t="n">
        <v>5</v>
      </c>
      <c r="L10" s="30" t="n">
        <f aca="false">IF(A10="","",SUM(G10:K10))</f>
        <v>109</v>
      </c>
      <c r="M10" s="31" t="n">
        <f aca="false">IF(A10="","",IF(F10=0,0,L10/F10))</f>
        <v>0.0361046704206691</v>
      </c>
      <c r="N10" s="5" t="str">
        <f aca="false">IF(A10="","",CHOOSE(WEEKDAY(A10,2),"月","火","水","木","金","土","日"))</f>
        <v>月</v>
      </c>
      <c r="O10" s="5" t="str">
        <f aca="false">IF(B10="","",IF(HOUR(B10)&lt;6,"深夜(0-5時)",IF(HOUR(B10)&lt;11,"朝(6-10時)",IF(HOUR(B10)&lt;15,"昼(11-14時)",IF(HOUR(B10)&lt;19,"夕方(15-18時)","夜(19-23時)")))))</f>
        <v>夜(19-23時)</v>
      </c>
      <c r="P10" s="32" t="n">
        <f aca="false">IF(M10="","",M10+ROW()/1000000000)</f>
        <v>0.0361046804206691</v>
      </c>
    </row>
    <row r="11" customFormat="false" ht="15" hidden="false" customHeight="false" outlineLevel="0" collapsed="false">
      <c r="A11" s="25" t="n">
        <v>46210</v>
      </c>
      <c r="B11" s="26" t="n">
        <v>0.916666666666667</v>
      </c>
      <c r="C11" s="27" t="s">
        <v>30</v>
      </c>
      <c r="D11" s="28" t="s">
        <v>55</v>
      </c>
      <c r="E11" s="28" t="s">
        <v>78</v>
      </c>
      <c r="F11" s="29" t="n">
        <v>2526</v>
      </c>
      <c r="G11" s="29" t="n">
        <v>66</v>
      </c>
      <c r="H11" s="29" t="n">
        <v>14</v>
      </c>
      <c r="I11" s="29" t="n">
        <v>9</v>
      </c>
      <c r="J11" s="29" t="n">
        <v>4</v>
      </c>
      <c r="K11" s="29" t="n">
        <v>5</v>
      </c>
      <c r="L11" s="30" t="n">
        <f aca="false">IF(A11="","",SUM(G11:K11))</f>
        <v>98</v>
      </c>
      <c r="M11" s="31" t="n">
        <f aca="false">IF(A11="","",IF(F11=0,0,L11/F11))</f>
        <v>0.0387965162311956</v>
      </c>
      <c r="N11" s="5" t="str">
        <f aca="false">IF(A11="","",CHOOSE(WEEKDAY(A11,2),"月","火","水","木","金","土","日"))</f>
        <v>火</v>
      </c>
      <c r="O11" s="5" t="str">
        <f aca="false">IF(B11="","",IF(HOUR(B11)&lt;6,"深夜(0-5時)",IF(HOUR(B11)&lt;11,"朝(6-10時)",IF(HOUR(B11)&lt;15,"昼(11-14時)",IF(HOUR(B11)&lt;19,"夕方(15-18時)","夜(19-23時)")))))</f>
        <v>夜(19-23時)</v>
      </c>
      <c r="P11" s="32" t="n">
        <f aca="false">IF(M11="","",M11+ROW()/1000000000)</f>
        <v>0.0387965272311956</v>
      </c>
    </row>
    <row r="12" customFormat="false" ht="15" hidden="false" customHeight="false" outlineLevel="0" collapsed="false">
      <c r="A12" s="25" t="n">
        <v>46211</v>
      </c>
      <c r="B12" s="26" t="n">
        <v>0.364583333333333</v>
      </c>
      <c r="C12" s="27" t="s">
        <v>30</v>
      </c>
      <c r="D12" s="28" t="s">
        <v>31</v>
      </c>
      <c r="E12" s="28" t="s">
        <v>82</v>
      </c>
      <c r="F12" s="29" t="n">
        <v>3198</v>
      </c>
      <c r="G12" s="29" t="n">
        <v>38</v>
      </c>
      <c r="H12" s="29" t="n">
        <v>8</v>
      </c>
      <c r="I12" s="29" t="n">
        <v>5</v>
      </c>
      <c r="J12" s="29" t="n">
        <v>2</v>
      </c>
      <c r="K12" s="29" t="n">
        <v>3</v>
      </c>
      <c r="L12" s="30" t="n">
        <f aca="false">IF(A12="","",SUM(G12:K12))</f>
        <v>56</v>
      </c>
      <c r="M12" s="31" t="n">
        <f aca="false">IF(A12="","",IF(F12=0,0,L12/F12))</f>
        <v>0.0175109443402126</v>
      </c>
      <c r="N12" s="5" t="str">
        <f aca="false">IF(A12="","",CHOOSE(WEEKDAY(A12,2),"月","火","水","木","金","土","日"))</f>
        <v>水</v>
      </c>
      <c r="O12" s="5" t="str">
        <f aca="false">IF(B12="","",IF(HOUR(B12)&lt;6,"深夜(0-5時)",IF(HOUR(B12)&lt;11,"朝(6-10時)",IF(HOUR(B12)&lt;15,"昼(11-14時)",IF(HOUR(B12)&lt;19,"夕方(15-18時)","夜(19-23時)")))))</f>
        <v>朝(6-10時)</v>
      </c>
      <c r="P12" s="32" t="n">
        <f aca="false">IF(M12="","",M12+ROW()/1000000000)</f>
        <v>0.0175109563402126</v>
      </c>
    </row>
    <row r="13" customFormat="false" ht="15" hidden="false" customHeight="false" outlineLevel="0" collapsed="false">
      <c r="A13" s="25" t="n">
        <v>46211</v>
      </c>
      <c r="B13" s="26" t="n">
        <v>0.385416666666667</v>
      </c>
      <c r="C13" s="27" t="s">
        <v>36</v>
      </c>
      <c r="D13" s="28" t="s">
        <v>54</v>
      </c>
      <c r="E13" s="28" t="s">
        <v>82</v>
      </c>
      <c r="F13" s="29" t="n">
        <v>1102</v>
      </c>
      <c r="G13" s="29" t="n">
        <v>43</v>
      </c>
      <c r="H13" s="29" t="n">
        <v>5</v>
      </c>
      <c r="I13" s="29" t="n">
        <v>15</v>
      </c>
      <c r="J13" s="29" t="n">
        <v>2</v>
      </c>
      <c r="K13" s="29" t="n">
        <v>0</v>
      </c>
      <c r="L13" s="30" t="n">
        <f aca="false">IF(A13="","",SUM(G13:K13))</f>
        <v>65</v>
      </c>
      <c r="M13" s="31" t="n">
        <f aca="false">IF(A13="","",IF(F13=0,0,L13/F13))</f>
        <v>0.058983666061706</v>
      </c>
      <c r="N13" s="5" t="str">
        <f aca="false">IF(A13="","",CHOOSE(WEEKDAY(A13,2),"月","火","水","木","金","土","日"))</f>
        <v>水</v>
      </c>
      <c r="O13" s="5" t="str">
        <f aca="false">IF(B13="","",IF(HOUR(B13)&lt;6,"深夜(0-5時)",IF(HOUR(B13)&lt;11,"朝(6-10時)",IF(HOUR(B13)&lt;15,"昼(11-14時)",IF(HOUR(B13)&lt;19,"夕方(15-18時)","夜(19-23時)")))))</f>
        <v>朝(6-10時)</v>
      </c>
      <c r="P13" s="32" t="n">
        <f aca="false">IF(M13="","",M13+ROW()/1000000000)</f>
        <v>0.058983679061706</v>
      </c>
    </row>
    <row r="14" customFormat="false" ht="15" hidden="false" customHeight="false" outlineLevel="0" collapsed="false">
      <c r="A14" s="25" t="n">
        <v>46212</v>
      </c>
      <c r="B14" s="26" t="n">
        <v>0.739583333333333</v>
      </c>
      <c r="C14" s="27" t="s">
        <v>30</v>
      </c>
      <c r="D14" s="28" t="s">
        <v>31</v>
      </c>
      <c r="E14" s="28" t="s">
        <v>79</v>
      </c>
      <c r="F14" s="29" t="n">
        <v>2829</v>
      </c>
      <c r="G14" s="29" t="n">
        <v>26</v>
      </c>
      <c r="H14" s="29" t="n">
        <v>6</v>
      </c>
      <c r="I14" s="29" t="n">
        <v>3</v>
      </c>
      <c r="J14" s="29" t="n">
        <v>1</v>
      </c>
      <c r="K14" s="29" t="n">
        <v>2</v>
      </c>
      <c r="L14" s="30" t="n">
        <f aca="false">IF(A14="","",SUM(G14:K14))</f>
        <v>38</v>
      </c>
      <c r="M14" s="31" t="n">
        <f aca="false">IF(A14="","",IF(F14=0,0,L14/F14))</f>
        <v>0.0134323082361258</v>
      </c>
      <c r="N14" s="5" t="str">
        <f aca="false">IF(A14="","",CHOOSE(WEEKDAY(A14,2),"月","火","水","木","金","土","日"))</f>
        <v>木</v>
      </c>
      <c r="O14" s="5" t="str">
        <f aca="false">IF(B14="","",IF(HOUR(B14)&lt;6,"深夜(0-5時)",IF(HOUR(B14)&lt;11,"朝(6-10時)",IF(HOUR(B14)&lt;15,"昼(11-14時)",IF(HOUR(B14)&lt;19,"夕方(15-18時)","夜(19-23時)")))))</f>
        <v>夕方(15-18時)</v>
      </c>
      <c r="P14" s="32" t="n">
        <f aca="false">IF(M14="","",M14+ROW()/1000000000)</f>
        <v>0.0134323222361258</v>
      </c>
    </row>
    <row r="15" customFormat="false" ht="15" hidden="false" customHeight="false" outlineLevel="0" collapsed="false">
      <c r="A15" s="25" t="n">
        <v>46213</v>
      </c>
      <c r="B15" s="26" t="n">
        <v>0.375</v>
      </c>
      <c r="C15" s="27" t="s">
        <v>30</v>
      </c>
      <c r="D15" s="28" t="s">
        <v>56</v>
      </c>
      <c r="E15" s="28" t="s">
        <v>79</v>
      </c>
      <c r="F15" s="29" t="n">
        <v>2296</v>
      </c>
      <c r="G15" s="29" t="n">
        <v>17</v>
      </c>
      <c r="H15" s="29" t="n">
        <v>3</v>
      </c>
      <c r="I15" s="29" t="n">
        <v>2</v>
      </c>
      <c r="J15" s="29" t="n">
        <v>1</v>
      </c>
      <c r="K15" s="29" t="n">
        <v>8</v>
      </c>
      <c r="L15" s="30" t="n">
        <f aca="false">IF(A15="","",SUM(G15:K15))</f>
        <v>31</v>
      </c>
      <c r="M15" s="31" t="n">
        <f aca="false">IF(A15="","",IF(F15=0,0,L15/F15))</f>
        <v>0.0135017421602787</v>
      </c>
      <c r="N15" s="5" t="str">
        <f aca="false">IF(A15="","",CHOOSE(WEEKDAY(A15,2),"月","火","水","木","金","土","日"))</f>
        <v>金</v>
      </c>
      <c r="O15" s="5" t="str">
        <f aca="false">IF(B15="","",IF(HOUR(B15)&lt;6,"深夜(0-5時)",IF(HOUR(B15)&lt;11,"朝(6-10時)",IF(HOUR(B15)&lt;15,"昼(11-14時)",IF(HOUR(B15)&lt;19,"夕方(15-18時)","夜(19-23時)")))))</f>
        <v>朝(6-10時)</v>
      </c>
      <c r="P15" s="32" t="n">
        <f aca="false">IF(M15="","",M15+ROW()/1000000000)</f>
        <v>0.0135017571602787</v>
      </c>
    </row>
    <row r="16" customFormat="false" ht="15" hidden="false" customHeight="false" outlineLevel="0" collapsed="false">
      <c r="A16" s="25" t="n">
        <v>46214</v>
      </c>
      <c r="B16" s="26" t="n">
        <v>0.333333333333333</v>
      </c>
      <c r="C16" s="27" t="s">
        <v>30</v>
      </c>
      <c r="D16" s="28" t="s">
        <v>31</v>
      </c>
      <c r="E16" s="28" t="s">
        <v>83</v>
      </c>
      <c r="F16" s="29" t="n">
        <v>2641</v>
      </c>
      <c r="G16" s="29" t="n">
        <v>41</v>
      </c>
      <c r="H16" s="29" t="n">
        <v>9</v>
      </c>
      <c r="I16" s="29" t="n">
        <v>6</v>
      </c>
      <c r="J16" s="29" t="n">
        <v>2</v>
      </c>
      <c r="K16" s="29" t="n">
        <v>3</v>
      </c>
      <c r="L16" s="30" t="n">
        <f aca="false">IF(A16="","",SUM(G16:K16))</f>
        <v>61</v>
      </c>
      <c r="M16" s="31" t="n">
        <f aca="false">IF(A16="","",IF(F16=0,0,L16/F16))</f>
        <v>0.0230973116243847</v>
      </c>
      <c r="N16" s="5" t="str">
        <f aca="false">IF(A16="","",CHOOSE(WEEKDAY(A16,2),"月","火","水","木","金","土","日"))</f>
        <v>土</v>
      </c>
      <c r="O16" s="5" t="str">
        <f aca="false">IF(B16="","",IF(HOUR(B16)&lt;6,"深夜(0-5時)",IF(HOUR(B16)&lt;11,"朝(6-10時)",IF(HOUR(B16)&lt;15,"昼(11-14時)",IF(HOUR(B16)&lt;19,"夕方(15-18時)","夜(19-23時)")))))</f>
        <v>朝(6-10時)</v>
      </c>
      <c r="P16" s="32" t="n">
        <f aca="false">IF(M16="","",M16+ROW()/1000000000)</f>
        <v>0.0230973276243847</v>
      </c>
    </row>
    <row r="17" customFormat="false" ht="15" hidden="false" customHeight="false" outlineLevel="0" collapsed="false">
      <c r="A17" s="25" t="n">
        <v>46214</v>
      </c>
      <c r="B17" s="26" t="n">
        <v>0.541666666666667</v>
      </c>
      <c r="C17" s="27" t="s">
        <v>36</v>
      </c>
      <c r="D17" s="28" t="s">
        <v>31</v>
      </c>
      <c r="E17" s="28" t="s">
        <v>83</v>
      </c>
      <c r="F17" s="29" t="n">
        <v>816</v>
      </c>
      <c r="G17" s="29" t="n">
        <v>31</v>
      </c>
      <c r="H17" s="29" t="n">
        <v>4</v>
      </c>
      <c r="I17" s="29" t="n">
        <v>11</v>
      </c>
      <c r="J17" s="29" t="n">
        <v>2</v>
      </c>
      <c r="K17" s="29" t="n">
        <v>0</v>
      </c>
      <c r="L17" s="30" t="n">
        <f aca="false">IF(A17="","",SUM(G17:K17))</f>
        <v>48</v>
      </c>
      <c r="M17" s="31" t="n">
        <f aca="false">IF(A17="","",IF(F17=0,0,L17/F17))</f>
        <v>0.0588235294117647</v>
      </c>
      <c r="N17" s="5" t="str">
        <f aca="false">IF(A17="","",CHOOSE(WEEKDAY(A17,2),"月","火","水","木","金","土","日"))</f>
        <v>土</v>
      </c>
      <c r="O17" s="5" t="str">
        <f aca="false">IF(B17="","",IF(HOUR(B17)&lt;6,"深夜(0-5時)",IF(HOUR(B17)&lt;11,"朝(6-10時)",IF(HOUR(B17)&lt;15,"昼(11-14時)",IF(HOUR(B17)&lt;19,"夕方(15-18時)","夜(19-23時)")))))</f>
        <v>昼(11-14時)</v>
      </c>
      <c r="P17" s="32" t="n">
        <f aca="false">IF(M17="","",M17+ROW()/1000000000)</f>
        <v>0.0588235464117647</v>
      </c>
    </row>
    <row r="18" customFormat="false" ht="15" hidden="false" customHeight="false" outlineLevel="0" collapsed="false">
      <c r="A18" s="25" t="n">
        <v>46215</v>
      </c>
      <c r="B18" s="26" t="n">
        <v>0.375</v>
      </c>
      <c r="C18" s="27" t="s">
        <v>30</v>
      </c>
      <c r="D18" s="28" t="s">
        <v>31</v>
      </c>
      <c r="E18" s="28" t="s">
        <v>84</v>
      </c>
      <c r="F18" s="29" t="n">
        <v>1865</v>
      </c>
      <c r="G18" s="29" t="n">
        <v>21</v>
      </c>
      <c r="H18" s="29" t="n">
        <v>4</v>
      </c>
      <c r="I18" s="29" t="n">
        <v>3</v>
      </c>
      <c r="J18" s="29" t="n">
        <v>1</v>
      </c>
      <c r="K18" s="29" t="n">
        <v>1</v>
      </c>
      <c r="L18" s="30" t="n">
        <f aca="false">IF(A18="","",SUM(G18:K18))</f>
        <v>30</v>
      </c>
      <c r="M18" s="31" t="n">
        <f aca="false">IF(A18="","",IF(F18=0,0,L18/F18))</f>
        <v>0.0160857908847185</v>
      </c>
      <c r="N18" s="5" t="str">
        <f aca="false">IF(A18="","",CHOOSE(WEEKDAY(A18,2),"月","火","水","木","金","土","日"))</f>
        <v>日</v>
      </c>
      <c r="O18" s="5" t="str">
        <f aca="false">IF(B18="","",IF(HOUR(B18)&lt;6,"深夜(0-5時)",IF(HOUR(B18)&lt;11,"朝(6-10時)",IF(HOUR(B18)&lt;15,"昼(11-14時)",IF(HOUR(B18)&lt;19,"夕方(15-18時)","夜(19-23時)")))))</f>
        <v>朝(6-10時)</v>
      </c>
      <c r="P18" s="32" t="n">
        <f aca="false">IF(M18="","",M18+ROW()/1000000000)</f>
        <v>0.0160858088847185</v>
      </c>
    </row>
    <row r="19" customFormat="false" ht="15" hidden="false" customHeight="false" outlineLevel="0" collapsed="false">
      <c r="A19" s="25" t="n">
        <v>46215</v>
      </c>
      <c r="B19" s="26" t="n">
        <v>0.5</v>
      </c>
      <c r="C19" s="27" t="s">
        <v>36</v>
      </c>
      <c r="D19" s="28" t="s">
        <v>31</v>
      </c>
      <c r="E19" s="28" t="s">
        <v>80</v>
      </c>
      <c r="F19" s="29" t="n">
        <v>1607</v>
      </c>
      <c r="G19" s="29" t="n">
        <v>35</v>
      </c>
      <c r="H19" s="29" t="n">
        <v>4</v>
      </c>
      <c r="I19" s="29" t="n">
        <v>12</v>
      </c>
      <c r="J19" s="29" t="n">
        <v>2</v>
      </c>
      <c r="K19" s="29" t="n">
        <v>0</v>
      </c>
      <c r="L19" s="30" t="n">
        <f aca="false">IF(A19="","",SUM(G19:K19))</f>
        <v>53</v>
      </c>
      <c r="M19" s="31" t="n">
        <f aca="false">IF(A19="","",IF(F19=0,0,L19/F19))</f>
        <v>0.0329807093963908</v>
      </c>
      <c r="N19" s="5" t="str">
        <f aca="false">IF(A19="","",CHOOSE(WEEKDAY(A19,2),"月","火","水","木","金","土","日"))</f>
        <v>日</v>
      </c>
      <c r="O19" s="5" t="str">
        <f aca="false">IF(B19="","",IF(HOUR(B19)&lt;6,"深夜(0-5時)",IF(HOUR(B19)&lt;11,"朝(6-10時)",IF(HOUR(B19)&lt;15,"昼(11-14時)",IF(HOUR(B19)&lt;19,"夕方(15-18時)","夜(19-23時)")))))</f>
        <v>昼(11-14時)</v>
      </c>
      <c r="P19" s="32" t="n">
        <f aca="false">IF(M19="","",M19+ROW()/1000000000)</f>
        <v>0.0329807283963908</v>
      </c>
    </row>
    <row r="20" customFormat="false" ht="15" hidden="false" customHeight="false" outlineLevel="0" collapsed="false">
      <c r="A20" s="25" t="n">
        <v>46216</v>
      </c>
      <c r="B20" s="26" t="n">
        <v>0.9375</v>
      </c>
      <c r="C20" s="27" t="s">
        <v>30</v>
      </c>
      <c r="D20" s="28" t="s">
        <v>31</v>
      </c>
      <c r="E20" s="28" t="s">
        <v>85</v>
      </c>
      <c r="F20" s="29" t="n">
        <v>3333</v>
      </c>
      <c r="G20" s="29" t="n">
        <v>92</v>
      </c>
      <c r="H20" s="29" t="n">
        <v>20</v>
      </c>
      <c r="I20" s="29" t="n">
        <v>13</v>
      </c>
      <c r="J20" s="29" t="n">
        <v>5</v>
      </c>
      <c r="K20" s="29" t="n">
        <v>7</v>
      </c>
      <c r="L20" s="30" t="n">
        <f aca="false">IF(A20="","",SUM(G20:K20))</f>
        <v>137</v>
      </c>
      <c r="M20" s="31" t="n">
        <f aca="false">IF(A20="","",IF(F20=0,0,L20/F20))</f>
        <v>0.0411041104110411</v>
      </c>
      <c r="N20" s="5" t="str">
        <f aca="false">IF(A20="","",CHOOSE(WEEKDAY(A20,2),"月","火","水","木","金","土","日"))</f>
        <v>月</v>
      </c>
      <c r="O20" s="5" t="str">
        <f aca="false">IF(B20="","",IF(HOUR(B20)&lt;6,"深夜(0-5時)",IF(HOUR(B20)&lt;11,"朝(6-10時)",IF(HOUR(B20)&lt;15,"昼(11-14時)",IF(HOUR(B20)&lt;19,"夕方(15-18時)","夜(19-23時)")))))</f>
        <v>夜(19-23時)</v>
      </c>
      <c r="P20" s="32" t="n">
        <f aca="false">IF(M20="","",M20+ROW()/1000000000)</f>
        <v>0.0411041304110411</v>
      </c>
    </row>
    <row r="21" customFormat="false" ht="15" hidden="false" customHeight="false" outlineLevel="0" collapsed="false">
      <c r="A21" s="25" t="n">
        <v>46216</v>
      </c>
      <c r="B21" s="26" t="n">
        <v>0.916666666666667</v>
      </c>
      <c r="C21" s="27" t="s">
        <v>36</v>
      </c>
      <c r="D21" s="28" t="s">
        <v>31</v>
      </c>
      <c r="E21" s="28" t="s">
        <v>86</v>
      </c>
      <c r="F21" s="29" t="n">
        <v>1120</v>
      </c>
      <c r="G21" s="29" t="n">
        <v>32</v>
      </c>
      <c r="H21" s="29" t="n">
        <v>4</v>
      </c>
      <c r="I21" s="29" t="n">
        <v>11</v>
      </c>
      <c r="J21" s="29" t="n">
        <v>2</v>
      </c>
      <c r="K21" s="29" t="n">
        <v>0</v>
      </c>
      <c r="L21" s="30" t="n">
        <f aca="false">IF(A21="","",SUM(G21:K21))</f>
        <v>49</v>
      </c>
      <c r="M21" s="31" t="n">
        <f aca="false">IF(A21="","",IF(F21=0,0,L21/F21))</f>
        <v>0.04375</v>
      </c>
      <c r="N21" s="5" t="str">
        <f aca="false">IF(A21="","",CHOOSE(WEEKDAY(A21,2),"月","火","水","木","金","土","日"))</f>
        <v>月</v>
      </c>
      <c r="O21" s="5" t="str">
        <f aca="false">IF(B21="","",IF(HOUR(B21)&lt;6,"深夜(0-5時)",IF(HOUR(B21)&lt;11,"朝(6-10時)",IF(HOUR(B21)&lt;15,"昼(11-14時)",IF(HOUR(B21)&lt;19,"夕方(15-18時)","夜(19-23時)")))))</f>
        <v>夜(19-23時)</v>
      </c>
      <c r="P21" s="32" t="n">
        <f aca="false">IF(M21="","",M21+ROW()/1000000000)</f>
        <v>0.043750021</v>
      </c>
    </row>
    <row r="22" customFormat="false" ht="15" hidden="false" customHeight="false" outlineLevel="0" collapsed="false">
      <c r="A22" s="25" t="n">
        <v>46217</v>
      </c>
      <c r="B22" s="26" t="n">
        <v>0.354166666666667</v>
      </c>
      <c r="C22" s="27" t="s">
        <v>30</v>
      </c>
      <c r="D22" s="28" t="s">
        <v>54</v>
      </c>
      <c r="E22" s="28" t="s">
        <v>82</v>
      </c>
      <c r="F22" s="29" t="n">
        <v>1487</v>
      </c>
      <c r="G22" s="29" t="n">
        <v>9</v>
      </c>
      <c r="H22" s="29" t="n">
        <v>2</v>
      </c>
      <c r="I22" s="29" t="n">
        <v>1</v>
      </c>
      <c r="J22" s="29" t="n">
        <v>0</v>
      </c>
      <c r="K22" s="29" t="n">
        <v>0</v>
      </c>
      <c r="L22" s="30" t="n">
        <f aca="false">IF(A22="","",SUM(G22:K22))</f>
        <v>12</v>
      </c>
      <c r="M22" s="31" t="n">
        <f aca="false">IF(A22="","",IF(F22=0,0,L22/F22))</f>
        <v>0.00806993947545394</v>
      </c>
      <c r="N22" s="5" t="str">
        <f aca="false">IF(A22="","",CHOOSE(WEEKDAY(A22,2),"月","火","水","木","金","土","日"))</f>
        <v>火</v>
      </c>
      <c r="O22" s="5" t="str">
        <f aca="false">IF(B22="","",IF(HOUR(B22)&lt;6,"深夜(0-5時)",IF(HOUR(B22)&lt;11,"朝(6-10時)",IF(HOUR(B22)&lt;15,"昼(11-14時)",IF(HOUR(B22)&lt;19,"夕方(15-18時)","夜(19-23時)")))))</f>
        <v>朝(6-10時)</v>
      </c>
      <c r="P22" s="32" t="n">
        <f aca="false">IF(M22="","",M22+ROW()/1000000000)</f>
        <v>0.00806996147545394</v>
      </c>
    </row>
    <row r="23" customFormat="false" ht="15" hidden="false" customHeight="false" outlineLevel="0" collapsed="false">
      <c r="A23" s="25" t="n">
        <v>46217</v>
      </c>
      <c r="B23" s="26" t="n">
        <v>0.552083333333333</v>
      </c>
      <c r="C23" s="27" t="s">
        <v>36</v>
      </c>
      <c r="D23" s="28" t="s">
        <v>54</v>
      </c>
      <c r="E23" s="28" t="s">
        <v>83</v>
      </c>
      <c r="F23" s="29" t="n">
        <v>1774</v>
      </c>
      <c r="G23" s="29" t="n">
        <v>69</v>
      </c>
      <c r="H23" s="29" t="n">
        <v>8</v>
      </c>
      <c r="I23" s="29" t="n">
        <v>24</v>
      </c>
      <c r="J23" s="29" t="n">
        <v>4</v>
      </c>
      <c r="K23" s="29" t="n">
        <v>0</v>
      </c>
      <c r="L23" s="30" t="n">
        <f aca="false">IF(A23="","",SUM(G23:K23))</f>
        <v>105</v>
      </c>
      <c r="M23" s="31" t="n">
        <f aca="false">IF(A23="","",IF(F23=0,0,L23/F23))</f>
        <v>0.0591882750845547</v>
      </c>
      <c r="N23" s="5" t="str">
        <f aca="false">IF(A23="","",CHOOSE(WEEKDAY(A23,2),"月","火","水","木","金","土","日"))</f>
        <v>火</v>
      </c>
      <c r="O23" s="5" t="str">
        <f aca="false">IF(B23="","",IF(HOUR(B23)&lt;6,"深夜(0-5時)",IF(HOUR(B23)&lt;11,"朝(6-10時)",IF(HOUR(B23)&lt;15,"昼(11-14時)",IF(HOUR(B23)&lt;19,"夕方(15-18時)","夜(19-23時)")))))</f>
        <v>昼(11-14時)</v>
      </c>
      <c r="P23" s="32" t="n">
        <f aca="false">IF(M23="","",M23+ROW()/1000000000)</f>
        <v>0.0591882980845547</v>
      </c>
    </row>
    <row r="24" customFormat="false" ht="15" hidden="false" customHeight="false" outlineLevel="0" collapsed="false">
      <c r="A24" s="25" t="n">
        <v>46218</v>
      </c>
      <c r="B24" s="26" t="n">
        <v>0.739583333333333</v>
      </c>
      <c r="C24" s="27" t="s">
        <v>30</v>
      </c>
      <c r="D24" s="28" t="s">
        <v>55</v>
      </c>
      <c r="E24" s="28" t="s">
        <v>85</v>
      </c>
      <c r="F24" s="29" t="n">
        <v>1773</v>
      </c>
      <c r="G24" s="29" t="n">
        <v>31</v>
      </c>
      <c r="H24" s="29" t="n">
        <v>7</v>
      </c>
      <c r="I24" s="29" t="n">
        <v>4</v>
      </c>
      <c r="J24" s="29" t="n">
        <v>2</v>
      </c>
      <c r="K24" s="29" t="n">
        <v>2</v>
      </c>
      <c r="L24" s="30" t="n">
        <f aca="false">IF(A24="","",SUM(G24:K24))</f>
        <v>46</v>
      </c>
      <c r="M24" s="31" t="n">
        <f aca="false">IF(A24="","",IF(F24=0,0,L24/F24))</f>
        <v>0.0259447264523407</v>
      </c>
      <c r="N24" s="5" t="str">
        <f aca="false">IF(A24="","",CHOOSE(WEEKDAY(A24,2),"月","火","水","木","金","土","日"))</f>
        <v>水</v>
      </c>
      <c r="O24" s="5" t="str">
        <f aca="false">IF(B24="","",IF(HOUR(B24)&lt;6,"深夜(0-5時)",IF(HOUR(B24)&lt;11,"朝(6-10時)",IF(HOUR(B24)&lt;15,"昼(11-14時)",IF(HOUR(B24)&lt;19,"夕方(15-18時)","夜(19-23時)")))))</f>
        <v>夕方(15-18時)</v>
      </c>
      <c r="P24" s="32" t="n">
        <f aca="false">IF(M24="","",M24+ROW()/1000000000)</f>
        <v>0.0259447504523407</v>
      </c>
    </row>
    <row r="25" customFormat="false" ht="15" hidden="false" customHeight="false" outlineLevel="0" collapsed="false">
      <c r="A25" s="25" t="n">
        <v>46219</v>
      </c>
      <c r="B25" s="26" t="n">
        <v>0.395833333333333</v>
      </c>
      <c r="C25" s="27" t="s">
        <v>30</v>
      </c>
      <c r="D25" s="28" t="s">
        <v>55</v>
      </c>
      <c r="E25" s="28" t="s">
        <v>32</v>
      </c>
      <c r="F25" s="29" t="n">
        <v>3721</v>
      </c>
      <c r="G25" s="29" t="n">
        <v>56</v>
      </c>
      <c r="H25" s="29" t="n">
        <v>12</v>
      </c>
      <c r="I25" s="29" t="n">
        <v>8</v>
      </c>
      <c r="J25" s="29" t="n">
        <v>3</v>
      </c>
      <c r="K25" s="29" t="n">
        <v>4</v>
      </c>
      <c r="L25" s="30" t="n">
        <f aca="false">IF(A25="","",SUM(G25:K25))</f>
        <v>83</v>
      </c>
      <c r="M25" s="31" t="n">
        <f aca="false">IF(A25="","",IF(F25=0,0,L25/F25))</f>
        <v>0.0223058317656544</v>
      </c>
      <c r="N25" s="5" t="str">
        <f aca="false">IF(A25="","",CHOOSE(WEEKDAY(A25,2),"月","火","水","木","金","土","日"))</f>
        <v>木</v>
      </c>
      <c r="O25" s="5" t="str">
        <f aca="false">IF(B25="","",IF(HOUR(B25)&lt;6,"深夜(0-5時)",IF(HOUR(B25)&lt;11,"朝(6-10時)",IF(HOUR(B25)&lt;15,"昼(11-14時)",IF(HOUR(B25)&lt;19,"夕方(15-18時)","夜(19-23時)")))))</f>
        <v>朝(6-10時)</v>
      </c>
      <c r="P25" s="32" t="n">
        <f aca="false">IF(M25="","",M25+ROW()/1000000000)</f>
        <v>0.0223058567656544</v>
      </c>
    </row>
    <row r="26" customFormat="false" ht="15" hidden="false" customHeight="false" outlineLevel="0" collapsed="false">
      <c r="A26" s="25" t="n">
        <v>46220</v>
      </c>
      <c r="B26" s="26" t="n">
        <v>0.770833333333333</v>
      </c>
      <c r="C26" s="27" t="s">
        <v>30</v>
      </c>
      <c r="D26" s="28" t="s">
        <v>54</v>
      </c>
      <c r="E26" s="28" t="s">
        <v>80</v>
      </c>
      <c r="F26" s="29" t="n">
        <v>2208</v>
      </c>
      <c r="G26" s="29" t="n">
        <v>17</v>
      </c>
      <c r="H26" s="29" t="n">
        <v>4</v>
      </c>
      <c r="I26" s="29" t="n">
        <v>2</v>
      </c>
      <c r="J26" s="29" t="n">
        <v>1</v>
      </c>
      <c r="K26" s="29" t="n">
        <v>1</v>
      </c>
      <c r="L26" s="30" t="n">
        <f aca="false">IF(A26="","",SUM(G26:K26))</f>
        <v>25</v>
      </c>
      <c r="M26" s="31" t="n">
        <f aca="false">IF(A26="","",IF(F26=0,0,L26/F26))</f>
        <v>0.0113224637681159</v>
      </c>
      <c r="N26" s="5" t="str">
        <f aca="false">IF(A26="","",CHOOSE(WEEKDAY(A26,2),"月","火","水","木","金","土","日"))</f>
        <v>金</v>
      </c>
      <c r="O26" s="5" t="str">
        <f aca="false">IF(B26="","",IF(HOUR(B26)&lt;6,"深夜(0-5時)",IF(HOUR(B26)&lt;11,"朝(6-10時)",IF(HOUR(B26)&lt;15,"昼(11-14時)",IF(HOUR(B26)&lt;19,"夕方(15-18時)","夜(19-23時)")))))</f>
        <v>夕方(15-18時)</v>
      </c>
      <c r="P26" s="32" t="n">
        <f aca="false">IF(M26="","",M26+ROW()/1000000000)</f>
        <v>0.0113224897681159</v>
      </c>
    </row>
    <row r="27" customFormat="false" ht="15" hidden="false" customHeight="false" outlineLevel="0" collapsed="false">
      <c r="A27" s="25" t="n">
        <v>46220</v>
      </c>
      <c r="B27" s="26" t="n">
        <v>0.9375</v>
      </c>
      <c r="C27" s="27" t="s">
        <v>36</v>
      </c>
      <c r="D27" s="28" t="s">
        <v>55</v>
      </c>
      <c r="E27" s="28" t="s">
        <v>84</v>
      </c>
      <c r="F27" s="29" t="n">
        <v>1278</v>
      </c>
      <c r="G27" s="29" t="n">
        <v>38</v>
      </c>
      <c r="H27" s="29" t="n">
        <v>4</v>
      </c>
      <c r="I27" s="29" t="n">
        <v>13</v>
      </c>
      <c r="J27" s="29" t="n">
        <v>2</v>
      </c>
      <c r="K27" s="29" t="n">
        <v>0</v>
      </c>
      <c r="L27" s="30" t="n">
        <f aca="false">IF(A27="","",SUM(G27:K27))</f>
        <v>57</v>
      </c>
      <c r="M27" s="31" t="n">
        <f aca="false">IF(A27="","",IF(F27=0,0,L27/F27))</f>
        <v>0.0446009389671362</v>
      </c>
      <c r="N27" s="5" t="str">
        <f aca="false">IF(A27="","",CHOOSE(WEEKDAY(A27,2),"月","火","水","木","金","土","日"))</f>
        <v>金</v>
      </c>
      <c r="O27" s="5" t="str">
        <f aca="false">IF(B27="","",IF(HOUR(B27)&lt;6,"深夜(0-5時)",IF(HOUR(B27)&lt;11,"朝(6-10時)",IF(HOUR(B27)&lt;15,"昼(11-14時)",IF(HOUR(B27)&lt;19,"夕方(15-18時)","夜(19-23時)")))))</f>
        <v>夜(19-23時)</v>
      </c>
      <c r="P27" s="32" t="n">
        <f aca="false">IF(M27="","",M27+ROW()/1000000000)</f>
        <v>0.0446009659671362</v>
      </c>
    </row>
    <row r="28" customFormat="false" ht="15" hidden="false" customHeight="false" outlineLevel="0" collapsed="false">
      <c r="A28" s="25" t="n">
        <v>46221</v>
      </c>
      <c r="B28" s="26" t="n">
        <v>0.5625</v>
      </c>
      <c r="C28" s="27" t="s">
        <v>30</v>
      </c>
      <c r="D28" s="28" t="s">
        <v>55</v>
      </c>
      <c r="E28" s="28" t="s">
        <v>81</v>
      </c>
      <c r="F28" s="29" t="n">
        <v>1956</v>
      </c>
      <c r="G28" s="29" t="n">
        <v>42</v>
      </c>
      <c r="H28" s="29" t="n">
        <v>9</v>
      </c>
      <c r="I28" s="29" t="n">
        <v>6</v>
      </c>
      <c r="J28" s="29" t="n">
        <v>2</v>
      </c>
      <c r="K28" s="29" t="n">
        <v>3</v>
      </c>
      <c r="L28" s="30" t="n">
        <f aca="false">IF(A28="","",SUM(G28:K28))</f>
        <v>62</v>
      </c>
      <c r="M28" s="31" t="n">
        <f aca="false">IF(A28="","",IF(F28=0,0,L28/F28))</f>
        <v>0.0316973415132924</v>
      </c>
      <c r="N28" s="5" t="str">
        <f aca="false">IF(A28="","",CHOOSE(WEEKDAY(A28,2),"月","火","水","木","金","土","日"))</f>
        <v>土</v>
      </c>
      <c r="O28" s="5" t="str">
        <f aca="false">IF(B28="","",IF(HOUR(B28)&lt;6,"深夜(0-5時)",IF(HOUR(B28)&lt;11,"朝(6-10時)",IF(HOUR(B28)&lt;15,"昼(11-14時)",IF(HOUR(B28)&lt;19,"夕方(15-18時)","夜(19-23時)")))))</f>
        <v>昼(11-14時)</v>
      </c>
      <c r="P28" s="32" t="n">
        <f aca="false">IF(M28="","",M28+ROW()/1000000000)</f>
        <v>0.0316973695132924</v>
      </c>
    </row>
    <row r="29" customFormat="false" ht="15" hidden="false" customHeight="false" outlineLevel="0" collapsed="false">
      <c r="A29" s="25" t="n">
        <v>46221</v>
      </c>
      <c r="B29" s="26" t="n">
        <v>0.84375</v>
      </c>
      <c r="C29" s="27" t="s">
        <v>36</v>
      </c>
      <c r="D29" s="28" t="s">
        <v>55</v>
      </c>
      <c r="E29" s="28" t="s">
        <v>84</v>
      </c>
      <c r="F29" s="29" t="n">
        <v>1483</v>
      </c>
      <c r="G29" s="29" t="n">
        <v>30</v>
      </c>
      <c r="H29" s="29" t="n">
        <v>3</v>
      </c>
      <c r="I29" s="29" t="n">
        <v>10</v>
      </c>
      <c r="J29" s="29" t="n">
        <v>1</v>
      </c>
      <c r="K29" s="29" t="n">
        <v>0</v>
      </c>
      <c r="L29" s="30" t="n">
        <f aca="false">IF(A29="","",SUM(G29:K29))</f>
        <v>44</v>
      </c>
      <c r="M29" s="31" t="n">
        <f aca="false">IF(A29="","",IF(F29=0,0,L29/F29))</f>
        <v>0.0296695886716116</v>
      </c>
      <c r="N29" s="5" t="str">
        <f aca="false">IF(A29="","",CHOOSE(WEEKDAY(A29,2),"月","火","水","木","金","土","日"))</f>
        <v>土</v>
      </c>
      <c r="O29" s="5" t="str">
        <f aca="false">IF(B29="","",IF(HOUR(B29)&lt;6,"深夜(0-5時)",IF(HOUR(B29)&lt;11,"朝(6-10時)",IF(HOUR(B29)&lt;15,"昼(11-14時)",IF(HOUR(B29)&lt;19,"夕方(15-18時)","夜(19-23時)")))))</f>
        <v>夜(19-23時)</v>
      </c>
      <c r="P29" s="32" t="n">
        <f aca="false">IF(M29="","",M29+ROW()/1000000000)</f>
        <v>0.0296696176716116</v>
      </c>
    </row>
    <row r="30" customFormat="false" ht="15" hidden="false" customHeight="false" outlineLevel="0" collapsed="false">
      <c r="A30" s="25" t="n">
        <v>46222</v>
      </c>
      <c r="B30" s="26" t="n">
        <v>0.833333333333333</v>
      </c>
      <c r="C30" s="27" t="s">
        <v>30</v>
      </c>
      <c r="D30" s="28" t="s">
        <v>54</v>
      </c>
      <c r="E30" s="28" t="s">
        <v>82</v>
      </c>
      <c r="F30" s="29" t="n">
        <v>1689</v>
      </c>
      <c r="G30" s="29" t="n">
        <v>19</v>
      </c>
      <c r="H30" s="29" t="n">
        <v>4</v>
      </c>
      <c r="I30" s="29" t="n">
        <v>2</v>
      </c>
      <c r="J30" s="29" t="n">
        <v>1</v>
      </c>
      <c r="K30" s="29" t="n">
        <v>1</v>
      </c>
      <c r="L30" s="30" t="n">
        <f aca="false">IF(A30="","",SUM(G30:K30))</f>
        <v>27</v>
      </c>
      <c r="M30" s="31" t="n">
        <f aca="false">IF(A30="","",IF(F30=0,0,L30/F30))</f>
        <v>0.0159857904085258</v>
      </c>
      <c r="N30" s="5" t="str">
        <f aca="false">IF(A30="","",CHOOSE(WEEKDAY(A30,2),"月","火","水","木","金","土","日"))</f>
        <v>日</v>
      </c>
      <c r="O30" s="5" t="str">
        <f aca="false">IF(B30="","",IF(HOUR(B30)&lt;6,"深夜(0-5時)",IF(HOUR(B30)&lt;11,"朝(6-10時)",IF(HOUR(B30)&lt;15,"昼(11-14時)",IF(HOUR(B30)&lt;19,"夕方(15-18時)","夜(19-23時)")))))</f>
        <v>夜(19-23時)</v>
      </c>
      <c r="P30" s="32" t="n">
        <f aca="false">IF(M30="","",M30+ROW()/1000000000)</f>
        <v>0.0159858204085258</v>
      </c>
    </row>
    <row r="31" customFormat="false" ht="15" hidden="false" customHeight="false" outlineLevel="0" collapsed="false">
      <c r="A31" s="25" t="n">
        <v>46222</v>
      </c>
      <c r="B31" s="26" t="n">
        <v>0.385416666666667</v>
      </c>
      <c r="C31" s="27" t="s">
        <v>36</v>
      </c>
      <c r="D31" s="28" t="s">
        <v>54</v>
      </c>
      <c r="E31" s="28" t="s">
        <v>80</v>
      </c>
      <c r="F31" s="29" t="n">
        <v>1899</v>
      </c>
      <c r="G31" s="29" t="n">
        <v>74</v>
      </c>
      <c r="H31" s="29" t="n">
        <v>9</v>
      </c>
      <c r="I31" s="29" t="n">
        <v>26</v>
      </c>
      <c r="J31" s="29" t="n">
        <v>4</v>
      </c>
      <c r="K31" s="29" t="n">
        <v>0</v>
      </c>
      <c r="L31" s="30" t="n">
        <f aca="false">IF(A31="","",SUM(G31:K31))</f>
        <v>113</v>
      </c>
      <c r="M31" s="31" t="n">
        <f aca="false">IF(A31="","",IF(F31=0,0,L31/F31))</f>
        <v>0.0595050026329647</v>
      </c>
      <c r="N31" s="5" t="str">
        <f aca="false">IF(A31="","",CHOOSE(WEEKDAY(A31,2),"月","火","水","木","金","土","日"))</f>
        <v>日</v>
      </c>
      <c r="O31" s="5" t="str">
        <f aca="false">IF(B31="","",IF(HOUR(B31)&lt;6,"深夜(0-5時)",IF(HOUR(B31)&lt;11,"朝(6-10時)",IF(HOUR(B31)&lt;15,"昼(11-14時)",IF(HOUR(B31)&lt;19,"夕方(15-18時)","夜(19-23時)")))))</f>
        <v>朝(6-10時)</v>
      </c>
      <c r="P31" s="32" t="n">
        <f aca="false">IF(M31="","",M31+ROW()/1000000000)</f>
        <v>0.0595050336329647</v>
      </c>
    </row>
    <row r="32" customFormat="false" ht="15" hidden="false" customHeight="false" outlineLevel="0" collapsed="false">
      <c r="A32" s="25" t="n">
        <v>46223</v>
      </c>
      <c r="B32" s="26" t="n">
        <v>0.5</v>
      </c>
      <c r="C32" s="27" t="s">
        <v>30</v>
      </c>
      <c r="D32" s="28" t="s">
        <v>55</v>
      </c>
      <c r="E32" s="28" t="s">
        <v>79</v>
      </c>
      <c r="F32" s="29" t="n">
        <v>2309</v>
      </c>
      <c r="G32" s="29" t="n">
        <v>60</v>
      </c>
      <c r="H32" s="29" t="n">
        <v>13</v>
      </c>
      <c r="I32" s="29" t="n">
        <v>8</v>
      </c>
      <c r="J32" s="29" t="n">
        <v>3</v>
      </c>
      <c r="K32" s="29" t="n">
        <v>4</v>
      </c>
      <c r="L32" s="30" t="n">
        <f aca="false">IF(A32="","",SUM(G32:K32))</f>
        <v>88</v>
      </c>
      <c r="M32" s="31" t="n">
        <f aca="false">IF(A32="","",IF(F32=0,0,L32/F32))</f>
        <v>0.0381117366825466</v>
      </c>
      <c r="N32" s="5" t="str">
        <f aca="false">IF(A32="","",CHOOSE(WEEKDAY(A32,2),"月","火","水","木","金","土","日"))</f>
        <v>月</v>
      </c>
      <c r="O32" s="5" t="str">
        <f aca="false">IF(B32="","",IF(HOUR(B32)&lt;6,"深夜(0-5時)",IF(HOUR(B32)&lt;11,"朝(6-10時)",IF(HOUR(B32)&lt;15,"昼(11-14時)",IF(HOUR(B32)&lt;19,"夕方(15-18時)","夜(19-23時)")))))</f>
        <v>昼(11-14時)</v>
      </c>
      <c r="P32" s="32" t="n">
        <f aca="false">IF(M32="","",M32+ROW()/1000000000)</f>
        <v>0.0381117686825466</v>
      </c>
    </row>
    <row r="33" customFormat="false" ht="15" hidden="false" customHeight="false" outlineLevel="0" collapsed="false">
      <c r="A33" s="25" t="n">
        <v>46224</v>
      </c>
      <c r="B33" s="26" t="n">
        <v>0.364583333333333</v>
      </c>
      <c r="C33" s="27" t="s">
        <v>30</v>
      </c>
      <c r="D33" s="28" t="s">
        <v>54</v>
      </c>
      <c r="E33" s="28" t="s">
        <v>82</v>
      </c>
      <c r="F33" s="29" t="n">
        <v>2645</v>
      </c>
      <c r="G33" s="29" t="n">
        <v>23</v>
      </c>
      <c r="H33" s="29" t="n">
        <v>5</v>
      </c>
      <c r="I33" s="29" t="n">
        <v>3</v>
      </c>
      <c r="J33" s="29" t="n">
        <v>1</v>
      </c>
      <c r="K33" s="29" t="n">
        <v>1</v>
      </c>
      <c r="L33" s="30" t="n">
        <f aca="false">IF(A33="","",SUM(G33:K33))</f>
        <v>33</v>
      </c>
      <c r="M33" s="31" t="n">
        <f aca="false">IF(A33="","",IF(F33=0,0,L33/F33))</f>
        <v>0.012476370510397</v>
      </c>
      <c r="N33" s="5" t="str">
        <f aca="false">IF(A33="","",CHOOSE(WEEKDAY(A33,2),"月","火","水","木","金","土","日"))</f>
        <v>火</v>
      </c>
      <c r="O33" s="5" t="str">
        <f aca="false">IF(B33="","",IF(HOUR(B33)&lt;6,"深夜(0-5時)",IF(HOUR(B33)&lt;11,"朝(6-10時)",IF(HOUR(B33)&lt;15,"昼(11-14時)",IF(HOUR(B33)&lt;19,"夕方(15-18時)","夜(19-23時)")))))</f>
        <v>朝(6-10時)</v>
      </c>
      <c r="P33" s="32" t="n">
        <f aca="false">IF(M33="","",M33+ROW()/1000000000)</f>
        <v>0.012476403510397</v>
      </c>
    </row>
    <row r="34" customFormat="false" ht="15" hidden="false" customHeight="false" outlineLevel="0" collapsed="false">
      <c r="A34" s="25" t="n">
        <v>46224</v>
      </c>
      <c r="B34" s="26" t="n">
        <v>0.385416666666667</v>
      </c>
      <c r="C34" s="27" t="s">
        <v>36</v>
      </c>
      <c r="D34" s="28" t="s">
        <v>54</v>
      </c>
      <c r="E34" s="28" t="s">
        <v>84</v>
      </c>
      <c r="F34" s="29" t="n">
        <v>1850</v>
      </c>
      <c r="G34" s="29" t="n">
        <v>41</v>
      </c>
      <c r="H34" s="29" t="n">
        <v>5</v>
      </c>
      <c r="I34" s="29" t="n">
        <v>14</v>
      </c>
      <c r="J34" s="29" t="n">
        <v>2</v>
      </c>
      <c r="K34" s="29" t="n">
        <v>0</v>
      </c>
      <c r="L34" s="30" t="n">
        <f aca="false">IF(A34="","",SUM(G34:K34))</f>
        <v>62</v>
      </c>
      <c r="M34" s="31" t="n">
        <f aca="false">IF(A34="","",IF(F34=0,0,L34/F34))</f>
        <v>0.0335135135135135</v>
      </c>
      <c r="N34" s="5" t="str">
        <f aca="false">IF(A34="","",CHOOSE(WEEKDAY(A34,2),"月","火","水","木","金","土","日"))</f>
        <v>火</v>
      </c>
      <c r="O34" s="5" t="str">
        <f aca="false">IF(B34="","",IF(HOUR(B34)&lt;6,"深夜(0-5時)",IF(HOUR(B34)&lt;11,"朝(6-10時)",IF(HOUR(B34)&lt;15,"昼(11-14時)",IF(HOUR(B34)&lt;19,"夕方(15-18時)","夜(19-23時)")))))</f>
        <v>朝(6-10時)</v>
      </c>
      <c r="P34" s="32" t="n">
        <f aca="false">IF(M34="","",M34+ROW()/1000000000)</f>
        <v>0.0335135475135135</v>
      </c>
    </row>
    <row r="35" customFormat="false" ht="15" hidden="false" customHeight="false" outlineLevel="0" collapsed="false">
      <c r="A35" s="25" t="n">
        <v>46225</v>
      </c>
      <c r="B35" s="26" t="n">
        <v>0.875</v>
      </c>
      <c r="C35" s="27" t="s">
        <v>30</v>
      </c>
      <c r="D35" s="28" t="s">
        <v>55</v>
      </c>
      <c r="E35" s="28" t="s">
        <v>86</v>
      </c>
      <c r="F35" s="29" t="n">
        <v>3611</v>
      </c>
      <c r="G35" s="29" t="n">
        <v>101</v>
      </c>
      <c r="H35" s="29" t="n">
        <v>22</v>
      </c>
      <c r="I35" s="29" t="n">
        <v>14</v>
      </c>
      <c r="J35" s="29" t="n">
        <v>6</v>
      </c>
      <c r="K35" s="29" t="n">
        <v>8</v>
      </c>
      <c r="L35" s="30" t="n">
        <f aca="false">IF(A35="","",SUM(G35:K35))</f>
        <v>151</v>
      </c>
      <c r="M35" s="31" t="n">
        <f aca="false">IF(A35="","",IF(F35=0,0,L35/F35))</f>
        <v>0.0418166712821933</v>
      </c>
      <c r="N35" s="5" t="str">
        <f aca="false">IF(A35="","",CHOOSE(WEEKDAY(A35,2),"月","火","水","木","金","土","日"))</f>
        <v>水</v>
      </c>
      <c r="O35" s="5" t="str">
        <f aca="false">IF(B35="","",IF(HOUR(B35)&lt;6,"深夜(0-5時)",IF(HOUR(B35)&lt;11,"朝(6-10時)",IF(HOUR(B35)&lt;15,"昼(11-14時)",IF(HOUR(B35)&lt;19,"夕方(15-18時)","夜(19-23時)")))))</f>
        <v>夜(19-23時)</v>
      </c>
      <c r="P35" s="32" t="n">
        <f aca="false">IF(M35="","",M35+ROW()/1000000000)</f>
        <v>0.0418167062821933</v>
      </c>
    </row>
    <row r="36" customFormat="false" ht="15" hidden="false" customHeight="false" outlineLevel="0" collapsed="false">
      <c r="A36" s="25" t="n">
        <v>46226</v>
      </c>
      <c r="B36" s="26" t="n">
        <v>0.572916666666667</v>
      </c>
      <c r="C36" s="27" t="s">
        <v>30</v>
      </c>
      <c r="D36" s="28" t="s">
        <v>54</v>
      </c>
      <c r="E36" s="28" t="s">
        <v>78</v>
      </c>
      <c r="F36" s="29" t="n">
        <v>1318</v>
      </c>
      <c r="G36" s="29" t="n">
        <v>8</v>
      </c>
      <c r="H36" s="29" t="n">
        <v>2</v>
      </c>
      <c r="I36" s="29" t="n">
        <v>1</v>
      </c>
      <c r="J36" s="29" t="n">
        <v>0</v>
      </c>
      <c r="K36" s="29" t="n">
        <v>0</v>
      </c>
      <c r="L36" s="30" t="n">
        <f aca="false">IF(A36="","",SUM(G36:K36))</f>
        <v>11</v>
      </c>
      <c r="M36" s="31" t="n">
        <f aca="false">IF(A36="","",IF(F36=0,0,L36/F36))</f>
        <v>0.00834597875569044</v>
      </c>
      <c r="N36" s="5" t="str">
        <f aca="false">IF(A36="","",CHOOSE(WEEKDAY(A36,2),"月","火","水","木","金","土","日"))</f>
        <v>木</v>
      </c>
      <c r="O36" s="5" t="str">
        <f aca="false">IF(B36="","",IF(HOUR(B36)&lt;6,"深夜(0-5時)",IF(HOUR(B36)&lt;11,"朝(6-10時)",IF(HOUR(B36)&lt;15,"昼(11-14時)",IF(HOUR(B36)&lt;19,"夕方(15-18時)","夜(19-23時)")))))</f>
        <v>昼(11-14時)</v>
      </c>
      <c r="P36" s="32" t="n">
        <f aca="false">IF(M36="","",M36+ROW()/1000000000)</f>
        <v>0.00834601475569044</v>
      </c>
    </row>
    <row r="37" customFormat="false" ht="15" hidden="false" customHeight="false" outlineLevel="0" collapsed="false">
      <c r="A37" s="25" t="n">
        <v>46227</v>
      </c>
      <c r="B37" s="26" t="n">
        <v>0.354166666666667</v>
      </c>
      <c r="C37" s="27" t="s">
        <v>30</v>
      </c>
      <c r="D37" s="28" t="s">
        <v>54</v>
      </c>
      <c r="E37" s="28" t="s">
        <v>81</v>
      </c>
      <c r="F37" s="29" t="n">
        <v>3106</v>
      </c>
      <c r="G37" s="29" t="n">
        <v>24</v>
      </c>
      <c r="H37" s="29" t="n">
        <v>5</v>
      </c>
      <c r="I37" s="29" t="n">
        <v>3</v>
      </c>
      <c r="J37" s="29" t="n">
        <v>1</v>
      </c>
      <c r="K37" s="29" t="n">
        <v>1</v>
      </c>
      <c r="L37" s="30" t="n">
        <f aca="false">IF(A37="","",SUM(G37:K37))</f>
        <v>34</v>
      </c>
      <c r="M37" s="31" t="n">
        <f aca="false">IF(A37="","",IF(F37=0,0,L37/F37))</f>
        <v>0.0109465550547328</v>
      </c>
      <c r="N37" s="5" t="str">
        <f aca="false">IF(A37="","",CHOOSE(WEEKDAY(A37,2),"月","火","水","木","金","土","日"))</f>
        <v>金</v>
      </c>
      <c r="O37" s="5" t="str">
        <f aca="false">IF(B37="","",IF(HOUR(B37)&lt;6,"深夜(0-5時)",IF(HOUR(B37)&lt;11,"朝(6-10時)",IF(HOUR(B37)&lt;15,"昼(11-14時)",IF(HOUR(B37)&lt;19,"夕方(15-18時)","夜(19-23時)")))))</f>
        <v>朝(6-10時)</v>
      </c>
      <c r="P37" s="32" t="n">
        <f aca="false">IF(M37="","",M37+ROW()/1000000000)</f>
        <v>0.0109465920547328</v>
      </c>
    </row>
    <row r="38" customFormat="false" ht="15" hidden="false" customHeight="false" outlineLevel="0" collapsed="false">
      <c r="A38" s="25" t="n">
        <v>46227</v>
      </c>
      <c r="B38" s="26" t="n">
        <v>0.322916666666667</v>
      </c>
      <c r="C38" s="27" t="s">
        <v>36</v>
      </c>
      <c r="D38" s="28" t="s">
        <v>56</v>
      </c>
      <c r="E38" s="28" t="s">
        <v>86</v>
      </c>
      <c r="F38" s="29" t="n">
        <v>1146</v>
      </c>
      <c r="G38" s="29" t="n">
        <v>15</v>
      </c>
      <c r="H38" s="29" t="n">
        <v>2</v>
      </c>
      <c r="I38" s="29" t="n">
        <v>5</v>
      </c>
      <c r="J38" s="29" t="n">
        <v>1</v>
      </c>
      <c r="K38" s="29" t="n">
        <v>0</v>
      </c>
      <c r="L38" s="30" t="n">
        <f aca="false">IF(A38="","",SUM(G38:K38))</f>
        <v>23</v>
      </c>
      <c r="M38" s="31" t="n">
        <f aca="false">IF(A38="","",IF(F38=0,0,L38/F38))</f>
        <v>0.0200698080279232</v>
      </c>
      <c r="N38" s="5" t="str">
        <f aca="false">IF(A38="","",CHOOSE(WEEKDAY(A38,2),"月","火","水","木","金","土","日"))</f>
        <v>金</v>
      </c>
      <c r="O38" s="5" t="str">
        <f aca="false">IF(B38="","",IF(HOUR(B38)&lt;6,"深夜(0-5時)",IF(HOUR(B38)&lt;11,"朝(6-10時)",IF(HOUR(B38)&lt;15,"昼(11-14時)",IF(HOUR(B38)&lt;19,"夕方(15-18時)","夜(19-23時)")))))</f>
        <v>朝(6-10時)</v>
      </c>
      <c r="P38" s="32" t="n">
        <f aca="false">IF(M38="","",M38+ROW()/1000000000)</f>
        <v>0.0200698460279232</v>
      </c>
    </row>
    <row r="39" customFormat="false" ht="15" hidden="false" customHeight="false" outlineLevel="0" collapsed="false">
      <c r="A39" s="25" t="n">
        <v>46228</v>
      </c>
      <c r="B39" s="26" t="n">
        <v>0.510416666666667</v>
      </c>
      <c r="C39" s="27" t="s">
        <v>30</v>
      </c>
      <c r="D39" s="28" t="s">
        <v>54</v>
      </c>
      <c r="E39" s="28" t="s">
        <v>81</v>
      </c>
      <c r="F39" s="29" t="n">
        <v>2824</v>
      </c>
      <c r="G39" s="29" t="n">
        <v>39</v>
      </c>
      <c r="H39" s="29" t="n">
        <v>8</v>
      </c>
      <c r="I39" s="29" t="n">
        <v>5</v>
      </c>
      <c r="J39" s="29" t="n">
        <v>2</v>
      </c>
      <c r="K39" s="29" t="n">
        <v>3</v>
      </c>
      <c r="L39" s="30" t="n">
        <f aca="false">IF(A39="","",SUM(G39:K39))</f>
        <v>57</v>
      </c>
      <c r="M39" s="31" t="n">
        <f aca="false">IF(A39="","",IF(F39=0,0,L39/F39))</f>
        <v>0.0201841359773371</v>
      </c>
      <c r="N39" s="5" t="str">
        <f aca="false">IF(A39="","",CHOOSE(WEEKDAY(A39,2),"月","火","水","木","金","土","日"))</f>
        <v>土</v>
      </c>
      <c r="O39" s="5" t="str">
        <f aca="false">IF(B39="","",IF(HOUR(B39)&lt;6,"深夜(0-5時)",IF(HOUR(B39)&lt;11,"朝(6-10時)",IF(HOUR(B39)&lt;15,"昼(11-14時)",IF(HOUR(B39)&lt;19,"夕方(15-18時)","夜(19-23時)")))))</f>
        <v>昼(11-14時)</v>
      </c>
      <c r="P39" s="32" t="n">
        <f aca="false">IF(M39="","",M39+ROW()/1000000000)</f>
        <v>0.0201841749773371</v>
      </c>
    </row>
    <row r="40" customFormat="false" ht="15" hidden="false" customHeight="false" outlineLevel="0" collapsed="false">
      <c r="A40" s="25" t="n">
        <v>46228</v>
      </c>
      <c r="B40" s="26" t="n">
        <v>0.833333333333333</v>
      </c>
      <c r="C40" s="27" t="s">
        <v>36</v>
      </c>
      <c r="D40" s="28" t="s">
        <v>56</v>
      </c>
      <c r="E40" s="28" t="s">
        <v>82</v>
      </c>
      <c r="F40" s="29" t="n">
        <v>620</v>
      </c>
      <c r="G40" s="29" t="n">
        <v>11</v>
      </c>
      <c r="H40" s="29" t="n">
        <v>1</v>
      </c>
      <c r="I40" s="29" t="n">
        <v>4</v>
      </c>
      <c r="J40" s="29" t="n">
        <v>0</v>
      </c>
      <c r="K40" s="29" t="n">
        <v>0</v>
      </c>
      <c r="L40" s="30" t="n">
        <f aca="false">IF(A40="","",SUM(G40:K40))</f>
        <v>16</v>
      </c>
      <c r="M40" s="31" t="n">
        <f aca="false">IF(A40="","",IF(F40=0,0,L40/F40))</f>
        <v>0.0258064516129032</v>
      </c>
      <c r="N40" s="5" t="str">
        <f aca="false">IF(A40="","",CHOOSE(WEEKDAY(A40,2),"月","火","水","木","金","土","日"))</f>
        <v>土</v>
      </c>
      <c r="O40" s="5" t="str">
        <f aca="false">IF(B40="","",IF(HOUR(B40)&lt;6,"深夜(0-5時)",IF(HOUR(B40)&lt;11,"朝(6-10時)",IF(HOUR(B40)&lt;15,"昼(11-14時)",IF(HOUR(B40)&lt;19,"夕方(15-18時)","夜(19-23時)")))))</f>
        <v>夜(19-23時)</v>
      </c>
      <c r="P40" s="32" t="n">
        <f aca="false">IF(M40="","",M40+ROW()/1000000000)</f>
        <v>0.0258064916129032</v>
      </c>
    </row>
    <row r="41" customFormat="false" ht="15" hidden="false" customHeight="false" outlineLevel="0" collapsed="false">
      <c r="A41" s="25" t="n">
        <v>46229</v>
      </c>
      <c r="B41" s="26" t="n">
        <v>0.572916666666667</v>
      </c>
      <c r="C41" s="27" t="s">
        <v>30</v>
      </c>
      <c r="D41" s="28" t="s">
        <v>54</v>
      </c>
      <c r="E41" s="28" t="s">
        <v>79</v>
      </c>
      <c r="F41" s="29" t="n">
        <v>2699</v>
      </c>
      <c r="G41" s="29" t="n">
        <v>36</v>
      </c>
      <c r="H41" s="29" t="n">
        <v>8</v>
      </c>
      <c r="I41" s="29" t="n">
        <v>5</v>
      </c>
      <c r="J41" s="29" t="n">
        <v>2</v>
      </c>
      <c r="K41" s="29" t="n">
        <v>2</v>
      </c>
      <c r="L41" s="30" t="n">
        <f aca="false">IF(A41="","",SUM(G41:K41))</f>
        <v>53</v>
      </c>
      <c r="M41" s="31" t="n">
        <f aca="false">IF(A41="","",IF(F41=0,0,L41/F41))</f>
        <v>0.0196369025565024</v>
      </c>
      <c r="N41" s="5" t="str">
        <f aca="false">IF(A41="","",CHOOSE(WEEKDAY(A41,2),"月","火","水","木","金","土","日"))</f>
        <v>日</v>
      </c>
      <c r="O41" s="5" t="str">
        <f aca="false">IF(B41="","",IF(HOUR(B41)&lt;6,"深夜(0-5時)",IF(HOUR(B41)&lt;11,"朝(6-10時)",IF(HOUR(B41)&lt;15,"昼(11-14時)",IF(HOUR(B41)&lt;19,"夕方(15-18時)","夜(19-23時)")))))</f>
        <v>昼(11-14時)</v>
      </c>
      <c r="P41" s="32" t="n">
        <f aca="false">IF(M41="","",M41+ROW()/1000000000)</f>
        <v>0.0196369435565024</v>
      </c>
    </row>
    <row r="42" customFormat="false" ht="15" hidden="false" customHeight="false" outlineLevel="0" collapsed="false">
      <c r="A42" s="25" t="n">
        <v>46230</v>
      </c>
      <c r="B42" s="26" t="n">
        <v>0.333333333333333</v>
      </c>
      <c r="C42" s="27" t="s">
        <v>30</v>
      </c>
      <c r="D42" s="28" t="s">
        <v>54</v>
      </c>
      <c r="E42" s="28" t="s">
        <v>32</v>
      </c>
      <c r="F42" s="29" t="n">
        <v>1964</v>
      </c>
      <c r="G42" s="29" t="n">
        <v>16</v>
      </c>
      <c r="H42" s="29" t="n">
        <v>3</v>
      </c>
      <c r="I42" s="29" t="n">
        <v>2</v>
      </c>
      <c r="J42" s="29" t="n">
        <v>1</v>
      </c>
      <c r="K42" s="29" t="n">
        <v>1</v>
      </c>
      <c r="L42" s="30" t="n">
        <f aca="false">IF(A42="","",SUM(G42:K42))</f>
        <v>23</v>
      </c>
      <c r="M42" s="31" t="n">
        <f aca="false">IF(A42="","",IF(F42=0,0,L42/F42))</f>
        <v>0.0117107942973523</v>
      </c>
      <c r="N42" s="5" t="str">
        <f aca="false">IF(A42="","",CHOOSE(WEEKDAY(A42,2),"月","火","水","木","金","土","日"))</f>
        <v>月</v>
      </c>
      <c r="O42" s="5" t="str">
        <f aca="false">IF(B42="","",IF(HOUR(B42)&lt;6,"深夜(0-5時)",IF(HOUR(B42)&lt;11,"朝(6-10時)",IF(HOUR(B42)&lt;15,"昼(11-14時)",IF(HOUR(B42)&lt;19,"夕方(15-18時)","夜(19-23時)")))))</f>
        <v>朝(6-10時)</v>
      </c>
      <c r="P42" s="32" t="n">
        <f aca="false">IF(M42="","",M42+ROW()/1000000000)</f>
        <v>0.0117108362973523</v>
      </c>
    </row>
    <row r="43" customFormat="false" ht="15" hidden="false" customHeight="false" outlineLevel="0" collapsed="false">
      <c r="A43" s="25" t="n">
        <v>46230</v>
      </c>
      <c r="B43" s="26" t="n">
        <v>0.552083333333333</v>
      </c>
      <c r="C43" s="27" t="s">
        <v>36</v>
      </c>
      <c r="D43" s="28" t="s">
        <v>56</v>
      </c>
      <c r="E43" s="28" t="s">
        <v>84</v>
      </c>
      <c r="F43" s="29" t="n">
        <v>1039</v>
      </c>
      <c r="G43" s="29" t="n">
        <v>14</v>
      </c>
      <c r="H43" s="29" t="n">
        <v>1</v>
      </c>
      <c r="I43" s="29" t="n">
        <v>5</v>
      </c>
      <c r="J43" s="29" t="n">
        <v>0</v>
      </c>
      <c r="K43" s="29" t="n">
        <v>0</v>
      </c>
      <c r="L43" s="30" t="n">
        <f aca="false">IF(A43="","",SUM(G43:K43))</f>
        <v>20</v>
      </c>
      <c r="M43" s="31" t="n">
        <f aca="false">IF(A43="","",IF(F43=0,0,L43/F43))</f>
        <v>0.0192492781520693</v>
      </c>
      <c r="N43" s="5" t="str">
        <f aca="false">IF(A43="","",CHOOSE(WEEKDAY(A43,2),"月","火","水","木","金","土","日"))</f>
        <v>月</v>
      </c>
      <c r="O43" s="5" t="str">
        <f aca="false">IF(B43="","",IF(HOUR(B43)&lt;6,"深夜(0-5時)",IF(HOUR(B43)&lt;11,"朝(6-10時)",IF(HOUR(B43)&lt;15,"昼(11-14時)",IF(HOUR(B43)&lt;19,"夕方(15-18時)","夜(19-23時)")))))</f>
        <v>昼(11-14時)</v>
      </c>
      <c r="P43" s="32" t="n">
        <f aca="false">IF(M43="","",M43+ROW()/1000000000)</f>
        <v>0.0192493211520693</v>
      </c>
    </row>
    <row r="44" customFormat="false" ht="15" hidden="false" customHeight="false" outlineLevel="0" collapsed="false">
      <c r="A44" s="25" t="n">
        <v>46231</v>
      </c>
      <c r="B44" s="26" t="n">
        <v>0.979166666666667</v>
      </c>
      <c r="C44" s="27" t="s">
        <v>30</v>
      </c>
      <c r="D44" s="28" t="s">
        <v>56</v>
      </c>
      <c r="E44" s="28" t="s">
        <v>81</v>
      </c>
      <c r="F44" s="29" t="n">
        <v>1358</v>
      </c>
      <c r="G44" s="29" t="n">
        <v>11</v>
      </c>
      <c r="H44" s="29" t="n">
        <v>2</v>
      </c>
      <c r="I44" s="29" t="n">
        <v>1</v>
      </c>
      <c r="J44" s="29" t="n">
        <v>0</v>
      </c>
      <c r="K44" s="29" t="n">
        <v>8</v>
      </c>
      <c r="L44" s="30" t="n">
        <f aca="false">IF(A44="","",SUM(G44:K44))</f>
        <v>22</v>
      </c>
      <c r="M44" s="31" t="n">
        <f aca="false">IF(A44="","",IF(F44=0,0,L44/F44))</f>
        <v>0.01620029455081</v>
      </c>
      <c r="N44" s="5" t="str">
        <f aca="false">IF(A44="","",CHOOSE(WEEKDAY(A44,2),"月","火","水","木","金","土","日"))</f>
        <v>火</v>
      </c>
      <c r="O44" s="5" t="str">
        <f aca="false">IF(B44="","",IF(HOUR(B44)&lt;6,"深夜(0-5時)",IF(HOUR(B44)&lt;11,"朝(6-10時)",IF(HOUR(B44)&lt;15,"昼(11-14時)",IF(HOUR(B44)&lt;19,"夕方(15-18時)","夜(19-23時)")))))</f>
        <v>夜(19-23時)</v>
      </c>
      <c r="P44" s="32" t="n">
        <f aca="false">IF(M44="","",M44+ROW()/1000000000)</f>
        <v>0.01620033855081</v>
      </c>
    </row>
    <row r="45" customFormat="false" ht="15" hidden="false" customHeight="false" outlineLevel="0" collapsed="false">
      <c r="A45" s="25" t="n">
        <v>46231</v>
      </c>
      <c r="B45" s="26" t="n">
        <v>0.947916666666667</v>
      </c>
      <c r="C45" s="27" t="s">
        <v>36</v>
      </c>
      <c r="D45" s="28" t="s">
        <v>54</v>
      </c>
      <c r="E45" s="28" t="s">
        <v>84</v>
      </c>
      <c r="F45" s="29" t="n">
        <v>1977</v>
      </c>
      <c r="G45" s="29" t="n">
        <v>108</v>
      </c>
      <c r="H45" s="29" t="n">
        <v>14</v>
      </c>
      <c r="I45" s="29" t="n">
        <v>38</v>
      </c>
      <c r="J45" s="29" t="n">
        <v>7</v>
      </c>
      <c r="K45" s="29" t="n">
        <v>0</v>
      </c>
      <c r="L45" s="30" t="n">
        <f aca="false">IF(A45="","",SUM(G45:K45))</f>
        <v>167</v>
      </c>
      <c r="M45" s="31" t="n">
        <f aca="false">IF(A45="","",IF(F45=0,0,L45/F45))</f>
        <v>0.0844714213454729</v>
      </c>
      <c r="N45" s="5" t="str">
        <f aca="false">IF(A45="","",CHOOSE(WEEKDAY(A45,2),"月","火","水","木","金","土","日"))</f>
        <v>火</v>
      </c>
      <c r="O45" s="5" t="str">
        <f aca="false">IF(B45="","",IF(HOUR(B45)&lt;6,"深夜(0-5時)",IF(HOUR(B45)&lt;11,"朝(6-10時)",IF(HOUR(B45)&lt;15,"昼(11-14時)",IF(HOUR(B45)&lt;19,"夕方(15-18時)","夜(19-23時)")))))</f>
        <v>夜(19-23時)</v>
      </c>
      <c r="P45" s="32" t="n">
        <f aca="false">IF(M45="","",M45+ROW()/1000000000)</f>
        <v>0.0844714663454729</v>
      </c>
    </row>
    <row r="46" customFormat="false" ht="15" hidden="false" customHeight="false" outlineLevel="0" collapsed="false">
      <c r="A46" s="25" t="n">
        <v>46232</v>
      </c>
      <c r="B46" s="26" t="n">
        <v>0.333333333333333</v>
      </c>
      <c r="C46" s="27" t="s">
        <v>30</v>
      </c>
      <c r="D46" s="28" t="s">
        <v>55</v>
      </c>
      <c r="E46" s="28" t="s">
        <v>78</v>
      </c>
      <c r="F46" s="29" t="n">
        <v>4106</v>
      </c>
      <c r="G46" s="29" t="n">
        <v>90</v>
      </c>
      <c r="H46" s="29" t="n">
        <v>20</v>
      </c>
      <c r="I46" s="29" t="n">
        <v>13</v>
      </c>
      <c r="J46" s="29" t="n">
        <v>5</v>
      </c>
      <c r="K46" s="29" t="n">
        <v>7</v>
      </c>
      <c r="L46" s="30" t="n">
        <f aca="false">IF(A46="","",SUM(G46:K46))</f>
        <v>135</v>
      </c>
      <c r="M46" s="31" t="n">
        <f aca="false">IF(A46="","",IF(F46=0,0,L46/F46))</f>
        <v>0.0328787140769605</v>
      </c>
      <c r="N46" s="5" t="str">
        <f aca="false">IF(A46="","",CHOOSE(WEEKDAY(A46,2),"月","火","水","木","金","土","日"))</f>
        <v>水</v>
      </c>
      <c r="O46" s="5" t="str">
        <f aca="false">IF(B46="","",IF(HOUR(B46)&lt;6,"深夜(0-5時)",IF(HOUR(B46)&lt;11,"朝(6-10時)",IF(HOUR(B46)&lt;15,"昼(11-14時)",IF(HOUR(B46)&lt;19,"夕方(15-18時)","夜(19-23時)")))))</f>
        <v>朝(6-10時)</v>
      </c>
      <c r="P46" s="32" t="n">
        <f aca="false">IF(M46="","",M46+ROW()/1000000000)</f>
        <v>0.0328787600769605</v>
      </c>
    </row>
    <row r="47" customFormat="false" ht="15" hidden="false" customHeight="false" outlineLevel="0" collapsed="false">
      <c r="A47" s="25" t="n">
        <v>46232</v>
      </c>
      <c r="B47" s="26" t="n">
        <v>0.760416666666667</v>
      </c>
      <c r="C47" s="27" t="s">
        <v>36</v>
      </c>
      <c r="D47" s="28" t="s">
        <v>31</v>
      </c>
      <c r="E47" s="28" t="s">
        <v>83</v>
      </c>
      <c r="F47" s="29" t="n">
        <v>1017</v>
      </c>
      <c r="G47" s="29" t="n">
        <v>14</v>
      </c>
      <c r="H47" s="29" t="n">
        <v>1</v>
      </c>
      <c r="I47" s="29" t="n">
        <v>5</v>
      </c>
      <c r="J47" s="29" t="n">
        <v>0</v>
      </c>
      <c r="K47" s="29" t="n">
        <v>0</v>
      </c>
      <c r="L47" s="30" t="n">
        <f aca="false">IF(A47="","",SUM(G47:K47))</f>
        <v>20</v>
      </c>
      <c r="M47" s="31" t="n">
        <f aca="false">IF(A47="","",IF(F47=0,0,L47/F47))</f>
        <v>0.0196656833824975</v>
      </c>
      <c r="N47" s="5" t="str">
        <f aca="false">IF(A47="","",CHOOSE(WEEKDAY(A47,2),"月","火","水","木","金","土","日"))</f>
        <v>水</v>
      </c>
      <c r="O47" s="5" t="str">
        <f aca="false">IF(B47="","",IF(HOUR(B47)&lt;6,"深夜(0-5時)",IF(HOUR(B47)&lt;11,"朝(6-10時)",IF(HOUR(B47)&lt;15,"昼(11-14時)",IF(HOUR(B47)&lt;19,"夕方(15-18時)","夜(19-23時)")))))</f>
        <v>夕方(15-18時)</v>
      </c>
      <c r="P47" s="32" t="n">
        <f aca="false">IF(M47="","",M47+ROW()/1000000000)</f>
        <v>0.0196657303824975</v>
      </c>
    </row>
    <row r="48" customFormat="false" ht="15" hidden="false" customHeight="false" outlineLevel="0" collapsed="false">
      <c r="A48" s="25" t="n">
        <v>46233</v>
      </c>
      <c r="B48" s="26" t="n">
        <v>0.958333333333333</v>
      </c>
      <c r="C48" s="27" t="s">
        <v>30</v>
      </c>
      <c r="D48" s="28" t="s">
        <v>31</v>
      </c>
      <c r="E48" s="28" t="s">
        <v>82</v>
      </c>
      <c r="F48" s="29" t="n">
        <v>2878</v>
      </c>
      <c r="G48" s="29" t="n">
        <v>47</v>
      </c>
      <c r="H48" s="29" t="n">
        <v>10</v>
      </c>
      <c r="I48" s="29" t="n">
        <v>6</v>
      </c>
      <c r="J48" s="29" t="n">
        <v>3</v>
      </c>
      <c r="K48" s="29" t="n">
        <v>3</v>
      </c>
      <c r="L48" s="30" t="n">
        <f aca="false">IF(A48="","",SUM(G48:K48))</f>
        <v>69</v>
      </c>
      <c r="M48" s="31" t="n">
        <f aca="false">IF(A48="","",IF(F48=0,0,L48/F48))</f>
        <v>0.0239749826268242</v>
      </c>
      <c r="N48" s="5" t="str">
        <f aca="false">IF(A48="","",CHOOSE(WEEKDAY(A48,2),"月","火","水","木","金","土","日"))</f>
        <v>木</v>
      </c>
      <c r="O48" s="5" t="str">
        <f aca="false">IF(B48="","",IF(HOUR(B48)&lt;6,"深夜(0-5時)",IF(HOUR(B48)&lt;11,"朝(6-10時)",IF(HOUR(B48)&lt;15,"昼(11-14時)",IF(HOUR(B48)&lt;19,"夕方(15-18時)","夜(19-23時)")))))</f>
        <v>夜(19-23時)</v>
      </c>
      <c r="P48" s="32" t="n">
        <f aca="false">IF(M48="","",M48+ROW()/1000000000)</f>
        <v>0.0239750306268242</v>
      </c>
    </row>
    <row r="49" customFormat="false" ht="15" hidden="false" customHeight="false" outlineLevel="0" collapsed="false">
      <c r="A49" s="25" t="n">
        <v>46233</v>
      </c>
      <c r="B49" s="26" t="n">
        <v>0.84375</v>
      </c>
      <c r="C49" s="27" t="s">
        <v>36</v>
      </c>
      <c r="D49" s="28" t="s">
        <v>31</v>
      </c>
      <c r="E49" s="28" t="s">
        <v>78</v>
      </c>
      <c r="F49" s="29" t="n">
        <v>1319</v>
      </c>
      <c r="G49" s="29" t="n">
        <v>53</v>
      </c>
      <c r="H49" s="29" t="n">
        <v>6</v>
      </c>
      <c r="I49" s="29" t="n">
        <v>18</v>
      </c>
      <c r="J49" s="29" t="n">
        <v>3</v>
      </c>
      <c r="K49" s="29" t="n">
        <v>0</v>
      </c>
      <c r="L49" s="30" t="n">
        <f aca="false">IF(A49="","",SUM(G49:K49))</f>
        <v>80</v>
      </c>
      <c r="M49" s="31" t="n">
        <f aca="false">IF(A49="","",IF(F49=0,0,L49/F49))</f>
        <v>0.0606520090978014</v>
      </c>
      <c r="N49" s="5" t="str">
        <f aca="false">IF(A49="","",CHOOSE(WEEKDAY(A49,2),"月","火","水","木","金","土","日"))</f>
        <v>木</v>
      </c>
      <c r="O49" s="5" t="str">
        <f aca="false">IF(B49="","",IF(HOUR(B49)&lt;6,"深夜(0-5時)",IF(HOUR(B49)&lt;11,"朝(6-10時)",IF(HOUR(B49)&lt;15,"昼(11-14時)",IF(HOUR(B49)&lt;19,"夕方(15-18時)","夜(19-23時)")))))</f>
        <v>夜(19-23時)</v>
      </c>
      <c r="P49" s="32" t="n">
        <f aca="false">IF(M49="","",M49+ROW()/1000000000)</f>
        <v>0.0606520580978014</v>
      </c>
    </row>
    <row r="50" customFormat="false" ht="15" hidden="false" customHeight="false" outlineLevel="0" collapsed="false">
      <c r="A50" s="25" t="n">
        <v>46234</v>
      </c>
      <c r="B50" s="26" t="n">
        <v>0.75</v>
      </c>
      <c r="C50" s="27" t="s">
        <v>30</v>
      </c>
      <c r="D50" s="28" t="s">
        <v>31</v>
      </c>
      <c r="E50" s="28" t="s">
        <v>84</v>
      </c>
      <c r="F50" s="29" t="n">
        <v>3118</v>
      </c>
      <c r="G50" s="29" t="n">
        <v>32</v>
      </c>
      <c r="H50" s="29" t="n">
        <v>7</v>
      </c>
      <c r="I50" s="29" t="n">
        <v>4</v>
      </c>
      <c r="J50" s="29" t="n">
        <v>2</v>
      </c>
      <c r="K50" s="29" t="n">
        <v>2</v>
      </c>
      <c r="L50" s="30" t="n">
        <f aca="false">IF(A50="","",SUM(G50:K50))</f>
        <v>47</v>
      </c>
      <c r="M50" s="31" t="n">
        <f aca="false">IF(A50="","",IF(F50=0,0,L50/F50))</f>
        <v>0.0150737652341244</v>
      </c>
      <c r="N50" s="5" t="str">
        <f aca="false">IF(A50="","",CHOOSE(WEEKDAY(A50,2),"月","火","水","木","金","土","日"))</f>
        <v>金</v>
      </c>
      <c r="O50" s="5" t="str">
        <f aca="false">IF(B50="","",IF(HOUR(B50)&lt;6,"深夜(0-5時)",IF(HOUR(B50)&lt;11,"朝(6-10時)",IF(HOUR(B50)&lt;15,"昼(11-14時)",IF(HOUR(B50)&lt;19,"夕方(15-18時)","夜(19-23時)")))))</f>
        <v>夕方(15-18時)</v>
      </c>
      <c r="P50" s="32" t="n">
        <f aca="false">IF(M50="","",M50+ROW()/1000000000)</f>
        <v>0.0150738152341244</v>
      </c>
    </row>
    <row r="51" customFormat="false" ht="15" hidden="false" customHeight="false" outlineLevel="0" collapsed="false">
      <c r="A51" s="25" t="n">
        <v>46234</v>
      </c>
      <c r="B51" s="26" t="n">
        <v>0.572916666666667</v>
      </c>
      <c r="C51" s="27" t="s">
        <v>36</v>
      </c>
      <c r="D51" s="28" t="s">
        <v>55</v>
      </c>
      <c r="E51" s="28" t="s">
        <v>83</v>
      </c>
      <c r="F51" s="29" t="n">
        <v>726</v>
      </c>
      <c r="G51" s="29" t="n">
        <v>19</v>
      </c>
      <c r="H51" s="29" t="n">
        <v>2</v>
      </c>
      <c r="I51" s="29" t="n">
        <v>6</v>
      </c>
      <c r="J51" s="29" t="n">
        <v>1</v>
      </c>
      <c r="K51" s="29" t="n">
        <v>0</v>
      </c>
      <c r="L51" s="30" t="n">
        <f aca="false">IF(A51="","",SUM(G51:K51))</f>
        <v>28</v>
      </c>
      <c r="M51" s="31" t="n">
        <f aca="false">IF(A51="","",IF(F51=0,0,L51/F51))</f>
        <v>0.0385674931129477</v>
      </c>
      <c r="N51" s="5" t="str">
        <f aca="false">IF(A51="","",CHOOSE(WEEKDAY(A51,2),"月","火","水","木","金","土","日"))</f>
        <v>金</v>
      </c>
      <c r="O51" s="5" t="str">
        <f aca="false">IF(B51="","",IF(HOUR(B51)&lt;6,"深夜(0-5時)",IF(HOUR(B51)&lt;11,"朝(6-10時)",IF(HOUR(B51)&lt;15,"昼(11-14時)",IF(HOUR(B51)&lt;19,"夕方(15-18時)","夜(19-23時)")))))</f>
        <v>昼(11-14時)</v>
      </c>
      <c r="P51" s="32" t="n">
        <f aca="false">IF(M51="","",M51+ROW()/1000000000)</f>
        <v>0.0385675441129477</v>
      </c>
    </row>
    <row r="52" customFormat="false" ht="15" hidden="false" customHeight="false" outlineLevel="0" collapsed="false">
      <c r="A52" s="25" t="n">
        <v>46235</v>
      </c>
      <c r="B52" s="26" t="n">
        <v>0.0625</v>
      </c>
      <c r="C52" s="27" t="s">
        <v>30</v>
      </c>
      <c r="D52" s="28" t="s">
        <v>55</v>
      </c>
      <c r="E52" s="28" t="s">
        <v>80</v>
      </c>
      <c r="F52" s="29" t="n">
        <v>1496</v>
      </c>
      <c r="G52" s="29" t="n">
        <v>28</v>
      </c>
      <c r="H52" s="29" t="n">
        <v>6</v>
      </c>
      <c r="I52" s="29" t="n">
        <v>4</v>
      </c>
      <c r="J52" s="29" t="n">
        <v>1</v>
      </c>
      <c r="K52" s="29" t="n">
        <v>2</v>
      </c>
      <c r="L52" s="30" t="n">
        <f aca="false">IF(A52="","",SUM(G52:K52))</f>
        <v>41</v>
      </c>
      <c r="M52" s="31" t="n">
        <f aca="false">IF(A52="","",IF(F52=0,0,L52/F52))</f>
        <v>0.0274064171122995</v>
      </c>
      <c r="N52" s="5" t="str">
        <f aca="false">IF(A52="","",CHOOSE(WEEKDAY(A52,2),"月","火","水","木","金","土","日"))</f>
        <v>土</v>
      </c>
      <c r="O52" s="5" t="str">
        <f aca="false">IF(B52="","",IF(HOUR(B52)&lt;6,"深夜(0-5時)",IF(HOUR(B52)&lt;11,"朝(6-10時)",IF(HOUR(B52)&lt;15,"昼(11-14時)",IF(HOUR(B52)&lt;19,"夕方(15-18時)","夜(19-23時)")))))</f>
        <v>深夜(0-5時)</v>
      </c>
      <c r="P52" s="32" t="n">
        <f aca="false">IF(M52="","",M52+ROW()/1000000000)</f>
        <v>0.0274064691122995</v>
      </c>
    </row>
    <row r="53" customFormat="false" ht="15" hidden="false" customHeight="false" outlineLevel="0" collapsed="false">
      <c r="A53" s="25" t="n">
        <v>46236</v>
      </c>
      <c r="B53" s="26" t="n">
        <v>0.510416666666667</v>
      </c>
      <c r="C53" s="27" t="s">
        <v>30</v>
      </c>
      <c r="D53" s="28" t="s">
        <v>55</v>
      </c>
      <c r="E53" s="28" t="s">
        <v>86</v>
      </c>
      <c r="F53" s="29" t="n">
        <v>2011</v>
      </c>
      <c r="G53" s="29" t="n">
        <v>36</v>
      </c>
      <c r="H53" s="29" t="n">
        <v>8</v>
      </c>
      <c r="I53" s="29" t="n">
        <v>5</v>
      </c>
      <c r="J53" s="29" t="n">
        <v>2</v>
      </c>
      <c r="K53" s="29" t="n">
        <v>2</v>
      </c>
      <c r="L53" s="30" t="n">
        <f aca="false">IF(A53="","",SUM(G53:K53))</f>
        <v>53</v>
      </c>
      <c r="M53" s="31" t="n">
        <f aca="false">IF(A53="","",IF(F53=0,0,L53/F53))</f>
        <v>0.026355047240179</v>
      </c>
      <c r="N53" s="5" t="str">
        <f aca="false">IF(A53="","",CHOOSE(WEEKDAY(A53,2),"月","火","水","木","金","土","日"))</f>
        <v>日</v>
      </c>
      <c r="O53" s="5" t="str">
        <f aca="false">IF(B53="","",IF(HOUR(B53)&lt;6,"深夜(0-5時)",IF(HOUR(B53)&lt;11,"朝(6-10時)",IF(HOUR(B53)&lt;15,"昼(11-14時)",IF(HOUR(B53)&lt;19,"夕方(15-18時)","夜(19-23時)")))))</f>
        <v>昼(11-14時)</v>
      </c>
      <c r="P53" s="32" t="n">
        <f aca="false">IF(M53="","",M53+ROW()/1000000000)</f>
        <v>0.026355100240179</v>
      </c>
    </row>
    <row r="54" customFormat="false" ht="15" hidden="false" customHeight="false" outlineLevel="0" collapsed="false">
      <c r="A54" s="25" t="n">
        <v>46237</v>
      </c>
      <c r="B54" s="26" t="n">
        <v>0.364583333333333</v>
      </c>
      <c r="C54" s="27" t="s">
        <v>30</v>
      </c>
      <c r="D54" s="28" t="s">
        <v>31</v>
      </c>
      <c r="E54" s="28" t="s">
        <v>32</v>
      </c>
      <c r="F54" s="29" t="n">
        <v>1538</v>
      </c>
      <c r="G54" s="29" t="n">
        <v>26</v>
      </c>
      <c r="H54" s="29" t="n">
        <v>6</v>
      </c>
      <c r="I54" s="29" t="n">
        <v>3</v>
      </c>
      <c r="J54" s="29" t="n">
        <v>1</v>
      </c>
      <c r="K54" s="29" t="n">
        <v>2</v>
      </c>
      <c r="L54" s="30" t="n">
        <f aca="false">IF(A54="","",SUM(G54:K54))</f>
        <v>38</v>
      </c>
      <c r="M54" s="31" t="n">
        <f aca="false">IF(A54="","",IF(F54=0,0,L54/F54))</f>
        <v>0.0247074122236671</v>
      </c>
      <c r="N54" s="5" t="str">
        <f aca="false">IF(A54="","",CHOOSE(WEEKDAY(A54,2),"月","火","水","木","金","土","日"))</f>
        <v>月</v>
      </c>
      <c r="O54" s="5" t="str">
        <f aca="false">IF(B54="","",IF(HOUR(B54)&lt;6,"深夜(0-5時)",IF(HOUR(B54)&lt;11,"朝(6-10時)",IF(HOUR(B54)&lt;15,"昼(11-14時)",IF(HOUR(B54)&lt;19,"夕方(15-18時)","夜(19-23時)")))))</f>
        <v>朝(6-10時)</v>
      </c>
      <c r="P54" s="32" t="n">
        <f aca="false">IF(M54="","",M54+ROW()/1000000000)</f>
        <v>0.0247074662236671</v>
      </c>
    </row>
    <row r="55" customFormat="false" ht="15" hidden="false" customHeight="false" outlineLevel="0" collapsed="false">
      <c r="A55" s="25" t="n">
        <v>46238</v>
      </c>
      <c r="B55" s="26" t="n">
        <v>0.572916666666667</v>
      </c>
      <c r="C55" s="27" t="s">
        <v>36</v>
      </c>
      <c r="D55" s="28" t="s">
        <v>54</v>
      </c>
      <c r="E55" s="28" t="s">
        <v>82</v>
      </c>
      <c r="F55" s="29" t="n">
        <v>1442</v>
      </c>
      <c r="G55" s="29" t="n">
        <v>58</v>
      </c>
      <c r="H55" s="29" t="n">
        <v>7</v>
      </c>
      <c r="I55" s="29" t="n">
        <v>20</v>
      </c>
      <c r="J55" s="29" t="n">
        <v>3</v>
      </c>
      <c r="K55" s="29" t="n">
        <v>0</v>
      </c>
      <c r="L55" s="30" t="n">
        <f aca="false">IF(A55="","",SUM(G55:K55))</f>
        <v>88</v>
      </c>
      <c r="M55" s="31" t="n">
        <f aca="false">IF(A55="","",IF(F55=0,0,L55/F55))</f>
        <v>0.0610263522884882</v>
      </c>
      <c r="N55" s="5" t="str">
        <f aca="false">IF(A55="","",CHOOSE(WEEKDAY(A55,2),"月","火","水","木","金","土","日"))</f>
        <v>火</v>
      </c>
      <c r="O55" s="5" t="str">
        <f aca="false">IF(B55="","",IF(HOUR(B55)&lt;6,"深夜(0-5時)",IF(HOUR(B55)&lt;11,"朝(6-10時)",IF(HOUR(B55)&lt;15,"昼(11-14時)",IF(HOUR(B55)&lt;19,"夕方(15-18時)","夜(19-23時)")))))</f>
        <v>昼(11-14時)</v>
      </c>
      <c r="P55" s="32" t="n">
        <f aca="false">IF(M55="","",M55+ROW()/1000000000)</f>
        <v>0.0610264072884882</v>
      </c>
    </row>
    <row r="56" customFormat="false" ht="15" hidden="false" customHeight="false" outlineLevel="0" collapsed="false">
      <c r="A56" s="25" t="n">
        <v>46239</v>
      </c>
      <c r="B56" s="26" t="n">
        <v>0.96875</v>
      </c>
      <c r="C56" s="27" t="s">
        <v>30</v>
      </c>
      <c r="D56" s="28" t="s">
        <v>54</v>
      </c>
      <c r="E56" s="28" t="s">
        <v>81</v>
      </c>
      <c r="F56" s="29" t="n">
        <v>2569</v>
      </c>
      <c r="G56" s="29" t="n">
        <v>24</v>
      </c>
      <c r="H56" s="29" t="n">
        <v>5</v>
      </c>
      <c r="I56" s="29" t="n">
        <v>3</v>
      </c>
      <c r="J56" s="29" t="n">
        <v>1</v>
      </c>
      <c r="K56" s="29" t="n">
        <v>1</v>
      </c>
      <c r="L56" s="30" t="n">
        <f aca="false">IF(A56="","",SUM(G56:K56))</f>
        <v>34</v>
      </c>
      <c r="M56" s="31" t="n">
        <f aca="false">IF(A56="","",IF(F56=0,0,L56/F56))</f>
        <v>0.0132347216815882</v>
      </c>
      <c r="N56" s="5" t="str">
        <f aca="false">IF(A56="","",CHOOSE(WEEKDAY(A56,2),"月","火","水","木","金","土","日"))</f>
        <v>水</v>
      </c>
      <c r="O56" s="5" t="str">
        <f aca="false">IF(B56="","",IF(HOUR(B56)&lt;6,"深夜(0-5時)",IF(HOUR(B56)&lt;11,"朝(6-10時)",IF(HOUR(B56)&lt;15,"昼(11-14時)",IF(HOUR(B56)&lt;19,"夕方(15-18時)","夜(19-23時)")))))</f>
        <v>夜(19-23時)</v>
      </c>
      <c r="P56" s="32" t="n">
        <f aca="false">IF(M56="","",M56+ROW()/1000000000)</f>
        <v>0.0132347776815882</v>
      </c>
    </row>
    <row r="57" customFormat="false" ht="15" hidden="false" customHeight="false" outlineLevel="0" collapsed="false">
      <c r="A57" s="25" t="n">
        <v>46239</v>
      </c>
      <c r="B57" s="26" t="n">
        <v>0.916666666666667</v>
      </c>
      <c r="C57" s="27" t="s">
        <v>36</v>
      </c>
      <c r="D57" s="28" t="s">
        <v>31</v>
      </c>
      <c r="E57" s="28" t="s">
        <v>85</v>
      </c>
      <c r="F57" s="29" t="n">
        <v>1273</v>
      </c>
      <c r="G57" s="29" t="n">
        <v>26</v>
      </c>
      <c r="H57" s="29" t="n">
        <v>3</v>
      </c>
      <c r="I57" s="29" t="n">
        <v>9</v>
      </c>
      <c r="J57" s="29" t="n">
        <v>1</v>
      </c>
      <c r="K57" s="29" t="n">
        <v>0</v>
      </c>
      <c r="L57" s="30" t="n">
        <f aca="false">IF(A57="","",SUM(G57:K57))</f>
        <v>39</v>
      </c>
      <c r="M57" s="31" t="n">
        <f aca="false">IF(A57="","",IF(F57=0,0,L57/F57))</f>
        <v>0.0306362922230951</v>
      </c>
      <c r="N57" s="5" t="str">
        <f aca="false">IF(A57="","",CHOOSE(WEEKDAY(A57,2),"月","火","水","木","金","土","日"))</f>
        <v>水</v>
      </c>
      <c r="O57" s="5" t="str">
        <f aca="false">IF(B57="","",IF(HOUR(B57)&lt;6,"深夜(0-5時)",IF(HOUR(B57)&lt;11,"朝(6-10時)",IF(HOUR(B57)&lt;15,"昼(11-14時)",IF(HOUR(B57)&lt;19,"夕方(15-18時)","夜(19-23時)")))))</f>
        <v>夜(19-23時)</v>
      </c>
      <c r="P57" s="32" t="n">
        <f aca="false">IF(M57="","",M57+ROW()/1000000000)</f>
        <v>0.0306363492230951</v>
      </c>
    </row>
    <row r="58" customFormat="false" ht="15" hidden="false" customHeight="false" outlineLevel="0" collapsed="false">
      <c r="A58" s="25" t="n">
        <v>46240</v>
      </c>
      <c r="B58" s="26" t="n">
        <v>0.78125</v>
      </c>
      <c r="C58" s="27" t="s">
        <v>30</v>
      </c>
      <c r="D58" s="28" t="s">
        <v>54</v>
      </c>
      <c r="E58" s="28" t="s">
        <v>78</v>
      </c>
      <c r="F58" s="29" t="n">
        <v>1972</v>
      </c>
      <c r="G58" s="29" t="n">
        <v>23</v>
      </c>
      <c r="H58" s="29" t="n">
        <v>5</v>
      </c>
      <c r="I58" s="29" t="n">
        <v>3</v>
      </c>
      <c r="J58" s="29" t="n">
        <v>1</v>
      </c>
      <c r="K58" s="29" t="n">
        <v>1</v>
      </c>
      <c r="L58" s="30" t="n">
        <f aca="false">IF(A58="","",SUM(G58:K58))</f>
        <v>33</v>
      </c>
      <c r="M58" s="31" t="n">
        <f aca="false">IF(A58="","",IF(F58=0,0,L58/F58))</f>
        <v>0.0167342799188641</v>
      </c>
      <c r="N58" s="5" t="str">
        <f aca="false">IF(A58="","",CHOOSE(WEEKDAY(A58,2),"月","火","水","木","金","土","日"))</f>
        <v>木</v>
      </c>
      <c r="O58" s="5" t="str">
        <f aca="false">IF(B58="","",IF(HOUR(B58)&lt;6,"深夜(0-5時)",IF(HOUR(B58)&lt;11,"朝(6-10時)",IF(HOUR(B58)&lt;15,"昼(11-14時)",IF(HOUR(B58)&lt;19,"夕方(15-18時)","夜(19-23時)")))))</f>
        <v>夕方(15-18時)</v>
      </c>
      <c r="P58" s="32" t="n">
        <f aca="false">IF(M58="","",M58+ROW()/1000000000)</f>
        <v>0.0167343379188641</v>
      </c>
    </row>
    <row r="59" customFormat="false" ht="15" hidden="false" customHeight="false" outlineLevel="0" collapsed="false">
      <c r="A59" s="25" t="n">
        <v>46240</v>
      </c>
      <c r="B59" s="26" t="n">
        <v>0.322916666666667</v>
      </c>
      <c r="C59" s="27" t="s">
        <v>36</v>
      </c>
      <c r="D59" s="28" t="s">
        <v>54</v>
      </c>
      <c r="E59" s="28" t="s">
        <v>81</v>
      </c>
      <c r="F59" s="29" t="n">
        <v>1216</v>
      </c>
      <c r="G59" s="29" t="n">
        <v>38</v>
      </c>
      <c r="H59" s="29" t="n">
        <v>4</v>
      </c>
      <c r="I59" s="29" t="n">
        <v>13</v>
      </c>
      <c r="J59" s="29" t="n">
        <v>2</v>
      </c>
      <c r="K59" s="29" t="n">
        <v>0</v>
      </c>
      <c r="L59" s="30" t="n">
        <f aca="false">IF(A59="","",SUM(G59:K59))</f>
        <v>57</v>
      </c>
      <c r="M59" s="31" t="n">
        <f aca="false">IF(A59="","",IF(F59=0,0,L59/F59))</f>
        <v>0.046875</v>
      </c>
      <c r="N59" s="5" t="str">
        <f aca="false">IF(A59="","",CHOOSE(WEEKDAY(A59,2),"月","火","水","木","金","土","日"))</f>
        <v>木</v>
      </c>
      <c r="O59" s="5" t="str">
        <f aca="false">IF(B59="","",IF(HOUR(B59)&lt;6,"深夜(0-5時)",IF(HOUR(B59)&lt;11,"朝(6-10時)",IF(HOUR(B59)&lt;15,"昼(11-14時)",IF(HOUR(B59)&lt;19,"夕方(15-18時)","夜(19-23時)")))))</f>
        <v>朝(6-10時)</v>
      </c>
      <c r="P59" s="32" t="n">
        <f aca="false">IF(M59="","",M59+ROW()/1000000000)</f>
        <v>0.046875059</v>
      </c>
    </row>
    <row r="60" customFormat="false" ht="15" hidden="false" customHeight="false" outlineLevel="0" collapsed="false">
      <c r="A60" s="25" t="n">
        <v>46241</v>
      </c>
      <c r="B60" s="26" t="n">
        <v>0.96875</v>
      </c>
      <c r="C60" s="27" t="s">
        <v>30</v>
      </c>
      <c r="D60" s="28" t="s">
        <v>54</v>
      </c>
      <c r="E60" s="28" t="s">
        <v>78</v>
      </c>
      <c r="F60" s="29" t="n">
        <v>2159</v>
      </c>
      <c r="G60" s="29" t="n">
        <v>25</v>
      </c>
      <c r="H60" s="29" t="n">
        <v>5</v>
      </c>
      <c r="I60" s="29" t="n">
        <v>3</v>
      </c>
      <c r="J60" s="29" t="n">
        <v>1</v>
      </c>
      <c r="K60" s="29" t="n">
        <v>2</v>
      </c>
      <c r="L60" s="30" t="n">
        <f aca="false">IF(A60="","",SUM(G60:K60))</f>
        <v>36</v>
      </c>
      <c r="M60" s="31" t="n">
        <f aca="false">IF(A60="","",IF(F60=0,0,L60/F60))</f>
        <v>0.0166743862899491</v>
      </c>
      <c r="N60" s="5" t="str">
        <f aca="false">IF(A60="","",CHOOSE(WEEKDAY(A60,2),"月","火","水","木","金","土","日"))</f>
        <v>金</v>
      </c>
      <c r="O60" s="5" t="str">
        <f aca="false">IF(B60="","",IF(HOUR(B60)&lt;6,"深夜(0-5時)",IF(HOUR(B60)&lt;11,"朝(6-10時)",IF(HOUR(B60)&lt;15,"昼(11-14時)",IF(HOUR(B60)&lt;19,"夕方(15-18時)","夜(19-23時)")))))</f>
        <v>夜(19-23時)</v>
      </c>
      <c r="P60" s="32" t="n">
        <f aca="false">IF(M60="","",M60+ROW()/1000000000)</f>
        <v>0.0166744462899491</v>
      </c>
    </row>
    <row r="61" customFormat="false" ht="15" hidden="false" customHeight="false" outlineLevel="0" collapsed="false">
      <c r="A61" s="25" t="n">
        <v>46241</v>
      </c>
      <c r="B61" s="26" t="n">
        <v>0.729166666666667</v>
      </c>
      <c r="C61" s="27" t="s">
        <v>36</v>
      </c>
      <c r="D61" s="28" t="s">
        <v>54</v>
      </c>
      <c r="E61" s="28" t="s">
        <v>80</v>
      </c>
      <c r="F61" s="29" t="n">
        <v>2122</v>
      </c>
      <c r="G61" s="29" t="n">
        <v>83</v>
      </c>
      <c r="H61" s="29" t="n">
        <v>10</v>
      </c>
      <c r="I61" s="29" t="n">
        <v>29</v>
      </c>
      <c r="J61" s="29" t="n">
        <v>5</v>
      </c>
      <c r="K61" s="29" t="n">
        <v>0</v>
      </c>
      <c r="L61" s="30" t="n">
        <f aca="false">IF(A61="","",SUM(G61:K61))</f>
        <v>127</v>
      </c>
      <c r="M61" s="31" t="n">
        <f aca="false">IF(A61="","",IF(F61=0,0,L61/F61))</f>
        <v>0.0598491988689915</v>
      </c>
      <c r="N61" s="5" t="str">
        <f aca="false">IF(A61="","",CHOOSE(WEEKDAY(A61,2),"月","火","水","木","金","土","日"))</f>
        <v>金</v>
      </c>
      <c r="O61" s="5" t="str">
        <f aca="false">IF(B61="","",IF(HOUR(B61)&lt;6,"深夜(0-5時)",IF(HOUR(B61)&lt;11,"朝(6-10時)",IF(HOUR(B61)&lt;15,"昼(11-14時)",IF(HOUR(B61)&lt;19,"夕方(15-18時)","夜(19-23時)")))))</f>
        <v>夕方(15-18時)</v>
      </c>
      <c r="P61" s="32" t="n">
        <f aca="false">IF(M61="","",M61+ROW()/1000000000)</f>
        <v>0.0598492598689915</v>
      </c>
    </row>
    <row r="62" customFormat="false" ht="15" hidden="false" customHeight="false" outlineLevel="0" collapsed="false">
      <c r="A62" s="25" t="n">
        <v>46242</v>
      </c>
      <c r="B62" s="26" t="n">
        <v>0.958333333333333</v>
      </c>
      <c r="C62" s="27" t="s">
        <v>30</v>
      </c>
      <c r="D62" s="28" t="s">
        <v>55</v>
      </c>
      <c r="E62" s="28" t="s">
        <v>86</v>
      </c>
      <c r="F62" s="29" t="n">
        <v>2739</v>
      </c>
      <c r="G62" s="29" t="n">
        <v>68</v>
      </c>
      <c r="H62" s="29" t="n">
        <v>15</v>
      </c>
      <c r="I62" s="29" t="n">
        <v>9</v>
      </c>
      <c r="J62" s="29" t="n">
        <v>4</v>
      </c>
      <c r="K62" s="29" t="n">
        <v>5</v>
      </c>
      <c r="L62" s="30" t="n">
        <f aca="false">IF(A62="","",SUM(G62:K62))</f>
        <v>101</v>
      </c>
      <c r="M62" s="31" t="n">
        <f aca="false">IF(A62="","",IF(F62=0,0,L62/F62))</f>
        <v>0.0368747718145309</v>
      </c>
      <c r="N62" s="5" t="str">
        <f aca="false">IF(A62="","",CHOOSE(WEEKDAY(A62,2),"月","火","水","木","金","土","日"))</f>
        <v>土</v>
      </c>
      <c r="O62" s="5" t="str">
        <f aca="false">IF(B62="","",IF(HOUR(B62)&lt;6,"深夜(0-5時)",IF(HOUR(B62)&lt;11,"朝(6-10時)",IF(HOUR(B62)&lt;15,"昼(11-14時)",IF(HOUR(B62)&lt;19,"夕方(15-18時)","夜(19-23時)")))))</f>
        <v>夜(19-23時)</v>
      </c>
      <c r="P62" s="32" t="n">
        <f aca="false">IF(M62="","",M62+ROW()/1000000000)</f>
        <v>0.0368748338145309</v>
      </c>
    </row>
    <row r="63" customFormat="false" ht="15" hidden="false" customHeight="false" outlineLevel="0" collapsed="false">
      <c r="A63" s="25" t="n">
        <v>46242</v>
      </c>
      <c r="B63" s="26" t="n">
        <v>0.96875</v>
      </c>
      <c r="C63" s="27" t="s">
        <v>36</v>
      </c>
      <c r="D63" s="28" t="s">
        <v>54</v>
      </c>
      <c r="E63" s="28" t="s">
        <v>82</v>
      </c>
      <c r="F63" s="29" t="n">
        <v>880</v>
      </c>
      <c r="G63" s="29" t="n">
        <v>20</v>
      </c>
      <c r="H63" s="29" t="n">
        <v>2</v>
      </c>
      <c r="I63" s="29" t="n">
        <v>7</v>
      </c>
      <c r="J63" s="29" t="n">
        <v>1</v>
      </c>
      <c r="K63" s="29" t="n">
        <v>0</v>
      </c>
      <c r="L63" s="30" t="n">
        <f aca="false">IF(A63="","",SUM(G63:K63))</f>
        <v>30</v>
      </c>
      <c r="M63" s="31" t="n">
        <f aca="false">IF(A63="","",IF(F63=0,0,L63/F63))</f>
        <v>0.0340909090909091</v>
      </c>
      <c r="N63" s="5" t="str">
        <f aca="false">IF(A63="","",CHOOSE(WEEKDAY(A63,2),"月","火","水","木","金","土","日"))</f>
        <v>土</v>
      </c>
      <c r="O63" s="5" t="str">
        <f aca="false">IF(B63="","",IF(HOUR(B63)&lt;6,"深夜(0-5時)",IF(HOUR(B63)&lt;11,"朝(6-10時)",IF(HOUR(B63)&lt;15,"昼(11-14時)",IF(HOUR(B63)&lt;19,"夕方(15-18時)","夜(19-23時)")))))</f>
        <v>夜(19-23時)</v>
      </c>
      <c r="P63" s="32" t="n">
        <f aca="false">IF(M63="","",M63+ROW()/1000000000)</f>
        <v>0.0340909720909091</v>
      </c>
    </row>
    <row r="64" customFormat="false" ht="15" hidden="false" customHeight="false" outlineLevel="0" collapsed="false">
      <c r="A64" s="25" t="n">
        <v>46243</v>
      </c>
      <c r="B64" s="26" t="n">
        <v>0.291666666666667</v>
      </c>
      <c r="C64" s="27" t="s">
        <v>30</v>
      </c>
      <c r="D64" s="28" t="s">
        <v>56</v>
      </c>
      <c r="E64" s="28" t="s">
        <v>79</v>
      </c>
      <c r="F64" s="29" t="n">
        <v>2567</v>
      </c>
      <c r="G64" s="29" t="n">
        <v>19</v>
      </c>
      <c r="H64" s="29" t="n">
        <v>4</v>
      </c>
      <c r="I64" s="29" t="n">
        <v>2</v>
      </c>
      <c r="J64" s="29" t="n">
        <v>1</v>
      </c>
      <c r="K64" s="29" t="n">
        <v>14</v>
      </c>
      <c r="L64" s="30" t="n">
        <f aca="false">IF(A64="","",SUM(G64:K64))</f>
        <v>40</v>
      </c>
      <c r="M64" s="31" t="n">
        <f aca="false">IF(A64="","",IF(F64=0,0,L64/F64))</f>
        <v>0.0155823918971562</v>
      </c>
      <c r="N64" s="5" t="str">
        <f aca="false">IF(A64="","",CHOOSE(WEEKDAY(A64,2),"月","火","水","木","金","土","日"))</f>
        <v>日</v>
      </c>
      <c r="O64" s="5" t="str">
        <f aca="false">IF(B64="","",IF(HOUR(B64)&lt;6,"深夜(0-5時)",IF(HOUR(B64)&lt;11,"朝(6-10時)",IF(HOUR(B64)&lt;15,"昼(11-14時)",IF(HOUR(B64)&lt;19,"夕方(15-18時)","夜(19-23時)")))))</f>
        <v>朝(6-10時)</v>
      </c>
      <c r="P64" s="32" t="n">
        <f aca="false">IF(M64="","",M64+ROW()/1000000000)</f>
        <v>0.0155824558971562</v>
      </c>
    </row>
    <row r="65" customFormat="false" ht="15" hidden="false" customHeight="false" outlineLevel="0" collapsed="false">
      <c r="A65" s="25" t="n">
        <v>46243</v>
      </c>
      <c r="B65" s="26" t="n">
        <v>0.5</v>
      </c>
      <c r="C65" s="27" t="s">
        <v>36</v>
      </c>
      <c r="D65" s="28" t="s">
        <v>31</v>
      </c>
      <c r="E65" s="28" t="s">
        <v>79</v>
      </c>
      <c r="F65" s="29" t="n">
        <v>1790</v>
      </c>
      <c r="G65" s="29" t="n">
        <v>58</v>
      </c>
      <c r="H65" s="29" t="n">
        <v>7</v>
      </c>
      <c r="I65" s="29" t="n">
        <v>20</v>
      </c>
      <c r="J65" s="29" t="n">
        <v>3</v>
      </c>
      <c r="K65" s="29" t="n">
        <v>0</v>
      </c>
      <c r="L65" s="30" t="n">
        <f aca="false">IF(A65="","",SUM(G65:K65))</f>
        <v>88</v>
      </c>
      <c r="M65" s="31" t="n">
        <f aca="false">IF(A65="","",IF(F65=0,0,L65/F65))</f>
        <v>0.0491620111731844</v>
      </c>
      <c r="N65" s="5" t="str">
        <f aca="false">IF(A65="","",CHOOSE(WEEKDAY(A65,2),"月","火","水","木","金","土","日"))</f>
        <v>日</v>
      </c>
      <c r="O65" s="5" t="str">
        <f aca="false">IF(B65="","",IF(HOUR(B65)&lt;6,"深夜(0-5時)",IF(HOUR(B65)&lt;11,"朝(6-10時)",IF(HOUR(B65)&lt;15,"昼(11-14時)",IF(HOUR(B65)&lt;19,"夕方(15-18時)","夜(19-23時)")))))</f>
        <v>昼(11-14時)</v>
      </c>
      <c r="P65" s="32" t="n">
        <f aca="false">IF(M65="","",M65+ROW()/1000000000)</f>
        <v>0.0491620761731844</v>
      </c>
    </row>
    <row r="66" customFormat="false" ht="15" hidden="false" customHeight="false" outlineLevel="0" collapsed="false">
      <c r="A66" s="25" t="n">
        <v>46244</v>
      </c>
      <c r="B66" s="26" t="n">
        <v>0.302083333333333</v>
      </c>
      <c r="C66" s="27" t="s">
        <v>30</v>
      </c>
      <c r="D66" s="28" t="s">
        <v>55</v>
      </c>
      <c r="E66" s="28" t="s">
        <v>85</v>
      </c>
      <c r="F66" s="29" t="n">
        <v>4290</v>
      </c>
      <c r="G66" s="29" t="n">
        <v>72</v>
      </c>
      <c r="H66" s="29" t="n">
        <v>16</v>
      </c>
      <c r="I66" s="29" t="n">
        <v>10</v>
      </c>
      <c r="J66" s="29" t="n">
        <v>4</v>
      </c>
      <c r="K66" s="29" t="n">
        <v>5</v>
      </c>
      <c r="L66" s="30" t="n">
        <f aca="false">IF(A66="","",SUM(G66:K66))</f>
        <v>107</v>
      </c>
      <c r="M66" s="31" t="n">
        <f aca="false">IF(A66="","",IF(F66=0,0,L66/F66))</f>
        <v>0.0249417249417249</v>
      </c>
      <c r="N66" s="5" t="str">
        <f aca="false">IF(A66="","",CHOOSE(WEEKDAY(A66,2),"月","火","水","木","金","土","日"))</f>
        <v>月</v>
      </c>
      <c r="O66" s="5" t="str">
        <f aca="false">IF(B66="","",IF(HOUR(B66)&lt;6,"深夜(0-5時)",IF(HOUR(B66)&lt;11,"朝(6-10時)",IF(HOUR(B66)&lt;15,"昼(11-14時)",IF(HOUR(B66)&lt;19,"夕方(15-18時)","夜(19-23時)")))))</f>
        <v>朝(6-10時)</v>
      </c>
      <c r="P66" s="32" t="n">
        <f aca="false">IF(M66="","",M66+ROW()/1000000000)</f>
        <v>0.0249417909417249</v>
      </c>
    </row>
    <row r="67" customFormat="false" ht="15" hidden="false" customHeight="false" outlineLevel="0" collapsed="false">
      <c r="A67" s="25" t="n">
        <v>46245</v>
      </c>
      <c r="B67" s="26" t="n">
        <v>0.895833333333333</v>
      </c>
      <c r="C67" s="27" t="s">
        <v>30</v>
      </c>
      <c r="D67" s="28" t="s">
        <v>55</v>
      </c>
      <c r="E67" s="28" t="s">
        <v>78</v>
      </c>
      <c r="F67" s="29" t="n">
        <v>3148</v>
      </c>
      <c r="G67" s="29" t="n">
        <v>69</v>
      </c>
      <c r="H67" s="29" t="n">
        <v>15</v>
      </c>
      <c r="I67" s="29" t="n">
        <v>10</v>
      </c>
      <c r="J67" s="29" t="n">
        <v>4</v>
      </c>
      <c r="K67" s="29" t="n">
        <v>5</v>
      </c>
      <c r="L67" s="30" t="n">
        <f aca="false">IF(A67="","",SUM(G67:K67))</f>
        <v>103</v>
      </c>
      <c r="M67" s="31" t="n">
        <f aca="false">IF(A67="","",IF(F67=0,0,L67/F67))</f>
        <v>0.0327191867852605</v>
      </c>
      <c r="N67" s="5" t="str">
        <f aca="false">IF(A67="","",CHOOSE(WEEKDAY(A67,2),"月","火","水","木","金","土","日"))</f>
        <v>火</v>
      </c>
      <c r="O67" s="5" t="str">
        <f aca="false">IF(B67="","",IF(HOUR(B67)&lt;6,"深夜(0-5時)",IF(HOUR(B67)&lt;11,"朝(6-10時)",IF(HOUR(B67)&lt;15,"昼(11-14時)",IF(HOUR(B67)&lt;19,"夕方(15-18時)","夜(19-23時)")))))</f>
        <v>夜(19-23時)</v>
      </c>
      <c r="P67" s="32" t="n">
        <f aca="false">IF(M67="","",M67+ROW()/1000000000)</f>
        <v>0.0327192537852605</v>
      </c>
    </row>
    <row r="68" customFormat="false" ht="15" hidden="false" customHeight="false" outlineLevel="0" collapsed="false">
      <c r="A68" s="25" t="n">
        <v>46245</v>
      </c>
      <c r="B68" s="26" t="n">
        <v>0.885416666666667</v>
      </c>
      <c r="C68" s="27" t="s">
        <v>36</v>
      </c>
      <c r="D68" s="28" t="s">
        <v>31</v>
      </c>
      <c r="E68" s="28" t="s">
        <v>82</v>
      </c>
      <c r="F68" s="29" t="n">
        <v>2104</v>
      </c>
      <c r="G68" s="29" t="n">
        <v>92</v>
      </c>
      <c r="H68" s="29" t="n">
        <v>11</v>
      </c>
      <c r="I68" s="29" t="n">
        <v>32</v>
      </c>
      <c r="J68" s="29" t="n">
        <v>5</v>
      </c>
      <c r="K68" s="29" t="n">
        <v>0</v>
      </c>
      <c r="L68" s="30" t="n">
        <f aca="false">IF(A68="","",SUM(G68:K68))</f>
        <v>140</v>
      </c>
      <c r="M68" s="31" t="n">
        <f aca="false">IF(A68="","",IF(F68=0,0,L68/F68))</f>
        <v>0.0665399239543726</v>
      </c>
      <c r="N68" s="5" t="str">
        <f aca="false">IF(A68="","",CHOOSE(WEEKDAY(A68,2),"月","火","水","木","金","土","日"))</f>
        <v>火</v>
      </c>
      <c r="O68" s="5" t="str">
        <f aca="false">IF(B68="","",IF(HOUR(B68)&lt;6,"深夜(0-5時)",IF(HOUR(B68)&lt;11,"朝(6-10時)",IF(HOUR(B68)&lt;15,"昼(11-14時)",IF(HOUR(B68)&lt;19,"夕方(15-18時)","夜(19-23時)")))))</f>
        <v>夜(19-23時)</v>
      </c>
      <c r="P68" s="32" t="n">
        <f aca="false">IF(M68="","",M68+ROW()/1000000000)</f>
        <v>0.0665399919543726</v>
      </c>
    </row>
    <row r="69" customFormat="false" ht="15" hidden="false" customHeight="false" outlineLevel="0" collapsed="false">
      <c r="A69" s="25" t="n">
        <v>46246</v>
      </c>
      <c r="B69" s="26" t="n">
        <v>0.75</v>
      </c>
      <c r="C69" s="27" t="s">
        <v>30</v>
      </c>
      <c r="D69" s="28" t="s">
        <v>56</v>
      </c>
      <c r="E69" s="28" t="s">
        <v>83</v>
      </c>
      <c r="F69" s="29" t="n">
        <v>1464</v>
      </c>
      <c r="G69" s="29" t="n">
        <v>13</v>
      </c>
      <c r="H69" s="29" t="n">
        <v>2</v>
      </c>
      <c r="I69" s="29" t="n">
        <v>1</v>
      </c>
      <c r="J69" s="29" t="n">
        <v>0</v>
      </c>
      <c r="K69" s="29" t="n">
        <v>12</v>
      </c>
      <c r="L69" s="30" t="n">
        <f aca="false">IF(A69="","",SUM(G69:K69))</f>
        <v>28</v>
      </c>
      <c r="M69" s="31" t="n">
        <f aca="false">IF(A69="","",IF(F69=0,0,L69/F69))</f>
        <v>0.0191256830601093</v>
      </c>
      <c r="N69" s="5" t="str">
        <f aca="false">IF(A69="","",CHOOSE(WEEKDAY(A69,2),"月","火","水","木","金","土","日"))</f>
        <v>水</v>
      </c>
      <c r="O69" s="5" t="str">
        <f aca="false">IF(B69="","",IF(HOUR(B69)&lt;6,"深夜(0-5時)",IF(HOUR(B69)&lt;11,"朝(6-10時)",IF(HOUR(B69)&lt;15,"昼(11-14時)",IF(HOUR(B69)&lt;19,"夕方(15-18時)","夜(19-23時)")))))</f>
        <v>夕方(15-18時)</v>
      </c>
      <c r="P69" s="32" t="n">
        <f aca="false">IF(M69="","",M69+ROW()/1000000000)</f>
        <v>0.0191257520601093</v>
      </c>
    </row>
    <row r="70" customFormat="false" ht="15" hidden="false" customHeight="false" outlineLevel="0" collapsed="false">
      <c r="A70" s="25" t="n">
        <v>46246</v>
      </c>
      <c r="B70" s="26" t="n">
        <v>0.96875</v>
      </c>
      <c r="C70" s="27" t="s">
        <v>36</v>
      </c>
      <c r="D70" s="28" t="s">
        <v>55</v>
      </c>
      <c r="E70" s="28" t="s">
        <v>81</v>
      </c>
      <c r="F70" s="29" t="n">
        <v>1248</v>
      </c>
      <c r="G70" s="29" t="n">
        <v>16</v>
      </c>
      <c r="H70" s="29" t="n">
        <v>2</v>
      </c>
      <c r="I70" s="29" t="n">
        <v>5</v>
      </c>
      <c r="J70" s="29" t="n">
        <v>1</v>
      </c>
      <c r="K70" s="29" t="n">
        <v>0</v>
      </c>
      <c r="L70" s="30" t="n">
        <f aca="false">IF(A70="","",SUM(G70:K70))</f>
        <v>24</v>
      </c>
      <c r="M70" s="31" t="n">
        <f aca="false">IF(A70="","",IF(F70=0,0,L70/F70))</f>
        <v>0.0192307692307692</v>
      </c>
      <c r="N70" s="5" t="str">
        <f aca="false">IF(A70="","",CHOOSE(WEEKDAY(A70,2),"月","火","水","木","金","土","日"))</f>
        <v>水</v>
      </c>
      <c r="O70" s="5" t="str">
        <f aca="false">IF(B70="","",IF(HOUR(B70)&lt;6,"深夜(0-5時)",IF(HOUR(B70)&lt;11,"朝(6-10時)",IF(HOUR(B70)&lt;15,"昼(11-14時)",IF(HOUR(B70)&lt;19,"夕方(15-18時)","夜(19-23時)")))))</f>
        <v>夜(19-23時)</v>
      </c>
      <c r="P70" s="32" t="n">
        <f aca="false">IF(M70="","",M70+ROW()/1000000000)</f>
        <v>0.0192308392307692</v>
      </c>
    </row>
    <row r="71" customFormat="false" ht="15" hidden="false" customHeight="false" outlineLevel="0" collapsed="false">
      <c r="A71" s="25" t="n">
        <v>46247</v>
      </c>
      <c r="B71" s="26" t="n">
        <v>0.708333333333333</v>
      </c>
      <c r="C71" s="27" t="s">
        <v>30</v>
      </c>
      <c r="D71" s="28" t="s">
        <v>31</v>
      </c>
      <c r="E71" s="28" t="s">
        <v>32</v>
      </c>
      <c r="F71" s="29" t="n">
        <v>1449</v>
      </c>
      <c r="G71" s="29" t="n">
        <v>29</v>
      </c>
      <c r="H71" s="29" t="n">
        <v>6</v>
      </c>
      <c r="I71" s="29" t="n">
        <v>4</v>
      </c>
      <c r="J71" s="29" t="n">
        <v>1</v>
      </c>
      <c r="K71" s="29" t="n">
        <v>2</v>
      </c>
      <c r="L71" s="30" t="n">
        <f aca="false">IF(A71="","",SUM(G71:K71))</f>
        <v>42</v>
      </c>
      <c r="M71" s="31" t="n">
        <f aca="false">IF(A71="","",IF(F71=0,0,L71/F71))</f>
        <v>0.0289855072463768</v>
      </c>
      <c r="N71" s="5" t="str">
        <f aca="false">IF(A71="","",CHOOSE(WEEKDAY(A71,2),"月","火","水","木","金","土","日"))</f>
        <v>木</v>
      </c>
      <c r="O71" s="5" t="str">
        <f aca="false">IF(B71="","",IF(HOUR(B71)&lt;6,"深夜(0-5時)",IF(HOUR(B71)&lt;11,"朝(6-10時)",IF(HOUR(B71)&lt;15,"昼(11-14時)",IF(HOUR(B71)&lt;19,"夕方(15-18時)","夜(19-23時)")))))</f>
        <v>夕方(15-18時)</v>
      </c>
      <c r="P71" s="32" t="n">
        <f aca="false">IF(M71="","",M71+ROW()/1000000000)</f>
        <v>0.0289855782463768</v>
      </c>
    </row>
    <row r="72" customFormat="false" ht="15" hidden="false" customHeight="false" outlineLevel="0" collapsed="false">
      <c r="A72" s="25" t="n">
        <v>46248</v>
      </c>
      <c r="B72" s="26" t="n">
        <v>0.958333333333333</v>
      </c>
      <c r="C72" s="27" t="s">
        <v>30</v>
      </c>
      <c r="D72" s="28" t="s">
        <v>56</v>
      </c>
      <c r="E72" s="28" t="s">
        <v>80</v>
      </c>
      <c r="F72" s="29" t="n">
        <v>2329</v>
      </c>
      <c r="G72" s="29" t="n">
        <v>19</v>
      </c>
      <c r="H72" s="29" t="n">
        <v>4</v>
      </c>
      <c r="I72" s="29" t="n">
        <v>2</v>
      </c>
      <c r="J72" s="29" t="n">
        <v>1</v>
      </c>
      <c r="K72" s="29" t="n">
        <v>12</v>
      </c>
      <c r="L72" s="30" t="n">
        <f aca="false">IF(A72="","",SUM(G72:K72))</f>
        <v>38</v>
      </c>
      <c r="M72" s="31" t="n">
        <f aca="false">IF(A72="","",IF(F72=0,0,L72/F72))</f>
        <v>0.0163160154572778</v>
      </c>
      <c r="N72" s="5" t="str">
        <f aca="false">IF(A72="","",CHOOSE(WEEKDAY(A72,2),"月","火","水","木","金","土","日"))</f>
        <v>金</v>
      </c>
      <c r="O72" s="5" t="str">
        <f aca="false">IF(B72="","",IF(HOUR(B72)&lt;6,"深夜(0-5時)",IF(HOUR(B72)&lt;11,"朝(6-10時)",IF(HOUR(B72)&lt;15,"昼(11-14時)",IF(HOUR(B72)&lt;19,"夕方(15-18時)","夜(19-23時)")))))</f>
        <v>夜(19-23時)</v>
      </c>
      <c r="P72" s="32" t="n">
        <f aca="false">IF(M72="","",M72+ROW()/1000000000)</f>
        <v>0.0163160874572778</v>
      </c>
    </row>
    <row r="73" customFormat="false" ht="15" hidden="false" customHeight="false" outlineLevel="0" collapsed="false">
      <c r="A73" s="25" t="n">
        <v>46249</v>
      </c>
      <c r="B73" s="26" t="n">
        <v>0.375</v>
      </c>
      <c r="C73" s="27" t="s">
        <v>30</v>
      </c>
      <c r="D73" s="28" t="s">
        <v>31</v>
      </c>
      <c r="E73" s="28" t="s">
        <v>79</v>
      </c>
      <c r="F73" s="29" t="n">
        <v>3235</v>
      </c>
      <c r="G73" s="29" t="n">
        <v>61</v>
      </c>
      <c r="H73" s="29" t="n">
        <v>13</v>
      </c>
      <c r="I73" s="29" t="n">
        <v>8</v>
      </c>
      <c r="J73" s="29" t="n">
        <v>3</v>
      </c>
      <c r="K73" s="29" t="n">
        <v>4</v>
      </c>
      <c r="L73" s="30" t="n">
        <f aca="false">IF(A73="","",SUM(G73:K73))</f>
        <v>89</v>
      </c>
      <c r="M73" s="31" t="n">
        <f aca="false">IF(A73="","",IF(F73=0,0,L73/F73))</f>
        <v>0.0275115919629057</v>
      </c>
      <c r="N73" s="5" t="str">
        <f aca="false">IF(A73="","",CHOOSE(WEEKDAY(A73,2),"月","火","水","木","金","土","日"))</f>
        <v>土</v>
      </c>
      <c r="O73" s="5" t="str">
        <f aca="false">IF(B73="","",IF(HOUR(B73)&lt;6,"深夜(0-5時)",IF(HOUR(B73)&lt;11,"朝(6-10時)",IF(HOUR(B73)&lt;15,"昼(11-14時)",IF(HOUR(B73)&lt;19,"夕方(15-18時)","夜(19-23時)")))))</f>
        <v>朝(6-10時)</v>
      </c>
      <c r="P73" s="32" t="n">
        <f aca="false">IF(M73="","",M73+ROW()/1000000000)</f>
        <v>0.0275116649629057</v>
      </c>
    </row>
    <row r="74" customFormat="false" ht="15" hidden="false" customHeight="false" outlineLevel="0" collapsed="false">
      <c r="A74" s="25" t="n">
        <v>46249</v>
      </c>
      <c r="B74" s="26" t="n">
        <v>0.520833333333333</v>
      </c>
      <c r="C74" s="27" t="s">
        <v>36</v>
      </c>
      <c r="D74" s="28" t="s">
        <v>56</v>
      </c>
      <c r="E74" s="28" t="s">
        <v>85</v>
      </c>
      <c r="F74" s="29" t="n">
        <v>741</v>
      </c>
      <c r="G74" s="29" t="n">
        <v>9</v>
      </c>
      <c r="H74" s="29" t="n">
        <v>1</v>
      </c>
      <c r="I74" s="29" t="n">
        <v>3</v>
      </c>
      <c r="J74" s="29" t="n">
        <v>0</v>
      </c>
      <c r="K74" s="29" t="n">
        <v>0</v>
      </c>
      <c r="L74" s="30" t="n">
        <f aca="false">IF(A74="","",SUM(G74:K74))</f>
        <v>13</v>
      </c>
      <c r="M74" s="31" t="n">
        <f aca="false">IF(A74="","",IF(F74=0,0,L74/F74))</f>
        <v>0.0175438596491228</v>
      </c>
      <c r="N74" s="5" t="str">
        <f aca="false">IF(A74="","",CHOOSE(WEEKDAY(A74,2),"月","火","水","木","金","土","日"))</f>
        <v>土</v>
      </c>
      <c r="O74" s="5" t="str">
        <f aca="false">IF(B74="","",IF(HOUR(B74)&lt;6,"深夜(0-5時)",IF(HOUR(B74)&lt;11,"朝(6-10時)",IF(HOUR(B74)&lt;15,"昼(11-14時)",IF(HOUR(B74)&lt;19,"夕方(15-18時)","夜(19-23時)")))))</f>
        <v>昼(11-14時)</v>
      </c>
      <c r="P74" s="32" t="n">
        <f aca="false">IF(M74="","",M74+ROW()/1000000000)</f>
        <v>0.0175439336491228</v>
      </c>
    </row>
    <row r="75" customFormat="false" ht="15" hidden="false" customHeight="false" outlineLevel="0" collapsed="false">
      <c r="A75" s="25" t="n">
        <v>46250</v>
      </c>
      <c r="B75" s="26" t="n">
        <v>0.354166666666667</v>
      </c>
      <c r="C75" s="27" t="s">
        <v>30</v>
      </c>
      <c r="D75" s="28" t="s">
        <v>54</v>
      </c>
      <c r="E75" s="28" t="s">
        <v>32</v>
      </c>
      <c r="F75" s="29" t="n">
        <v>2914</v>
      </c>
      <c r="G75" s="29" t="n">
        <v>31</v>
      </c>
      <c r="H75" s="29" t="n">
        <v>7</v>
      </c>
      <c r="I75" s="29" t="n">
        <v>4</v>
      </c>
      <c r="J75" s="29" t="n">
        <v>2</v>
      </c>
      <c r="K75" s="29" t="n">
        <v>2</v>
      </c>
      <c r="L75" s="30" t="n">
        <f aca="false">IF(A75="","",SUM(G75:K75))</f>
        <v>46</v>
      </c>
      <c r="M75" s="31" t="n">
        <f aca="false">IF(A75="","",IF(F75=0,0,L75/F75))</f>
        <v>0.0157858613589568</v>
      </c>
      <c r="N75" s="5" t="str">
        <f aca="false">IF(A75="","",CHOOSE(WEEKDAY(A75,2),"月","火","水","木","金","土","日"))</f>
        <v>日</v>
      </c>
      <c r="O75" s="5" t="str">
        <f aca="false">IF(B75="","",IF(HOUR(B75)&lt;6,"深夜(0-5時)",IF(HOUR(B75)&lt;11,"朝(6-10時)",IF(HOUR(B75)&lt;15,"昼(11-14時)",IF(HOUR(B75)&lt;19,"夕方(15-18時)","夜(19-23時)")))))</f>
        <v>朝(6-10時)</v>
      </c>
      <c r="P75" s="32" t="n">
        <f aca="false">IF(M75="","",M75+ROW()/1000000000)</f>
        <v>0.0157859363589568</v>
      </c>
    </row>
    <row r="76" customFormat="false" ht="15" hidden="false" customHeight="false" outlineLevel="0" collapsed="false">
      <c r="A76" s="25" t="n">
        <v>46250</v>
      </c>
      <c r="B76" s="26" t="n">
        <v>0.875</v>
      </c>
      <c r="C76" s="27" t="s">
        <v>36</v>
      </c>
      <c r="D76" s="28" t="s">
        <v>55</v>
      </c>
      <c r="E76" s="28" t="s">
        <v>32</v>
      </c>
      <c r="F76" s="29" t="n">
        <v>1409</v>
      </c>
      <c r="G76" s="29" t="n">
        <v>58</v>
      </c>
      <c r="H76" s="29" t="n">
        <v>7</v>
      </c>
      <c r="I76" s="29" t="n">
        <v>20</v>
      </c>
      <c r="J76" s="29" t="n">
        <v>3</v>
      </c>
      <c r="K76" s="29" t="n">
        <v>0</v>
      </c>
      <c r="L76" s="30" t="n">
        <f aca="false">IF(A76="","",SUM(G76:K76))</f>
        <v>88</v>
      </c>
      <c r="M76" s="31" t="n">
        <f aca="false">IF(A76="","",IF(F76=0,0,L76/F76))</f>
        <v>0.0624556422995032</v>
      </c>
      <c r="N76" s="5" t="str">
        <f aca="false">IF(A76="","",CHOOSE(WEEKDAY(A76,2),"月","火","水","木","金","土","日"))</f>
        <v>日</v>
      </c>
      <c r="O76" s="5" t="str">
        <f aca="false">IF(B76="","",IF(HOUR(B76)&lt;6,"深夜(0-5時)",IF(HOUR(B76)&lt;11,"朝(6-10時)",IF(HOUR(B76)&lt;15,"昼(11-14時)",IF(HOUR(B76)&lt;19,"夕方(15-18時)","夜(19-23時)")))))</f>
        <v>夜(19-23時)</v>
      </c>
      <c r="P76" s="32" t="n">
        <f aca="false">IF(M76="","",M76+ROW()/1000000000)</f>
        <v>0.0624557182995032</v>
      </c>
    </row>
    <row r="77" customFormat="false" ht="15" hidden="false" customHeight="false" outlineLevel="0" collapsed="false">
      <c r="A77" s="25" t="n">
        <v>46251</v>
      </c>
      <c r="B77" s="26" t="n">
        <v>0.9375</v>
      </c>
      <c r="C77" s="27" t="s">
        <v>30</v>
      </c>
      <c r="D77" s="28" t="s">
        <v>31</v>
      </c>
      <c r="E77" s="28" t="s">
        <v>79</v>
      </c>
      <c r="F77" s="29" t="n">
        <v>2063</v>
      </c>
      <c r="G77" s="29" t="n">
        <v>38</v>
      </c>
      <c r="H77" s="29" t="n">
        <v>8</v>
      </c>
      <c r="I77" s="29" t="n">
        <v>5</v>
      </c>
      <c r="J77" s="29" t="n">
        <v>2</v>
      </c>
      <c r="K77" s="29" t="n">
        <v>3</v>
      </c>
      <c r="L77" s="30" t="n">
        <f aca="false">IF(A77="","",SUM(G77:K77))</f>
        <v>56</v>
      </c>
      <c r="M77" s="31" t="n">
        <f aca="false">IF(A77="","",IF(F77=0,0,L77/F77))</f>
        <v>0.0271449345613185</v>
      </c>
      <c r="N77" s="5" t="str">
        <f aca="false">IF(A77="","",CHOOSE(WEEKDAY(A77,2),"月","火","水","木","金","土","日"))</f>
        <v>月</v>
      </c>
      <c r="O77" s="5" t="str">
        <f aca="false">IF(B77="","",IF(HOUR(B77)&lt;6,"深夜(0-5時)",IF(HOUR(B77)&lt;11,"朝(6-10時)",IF(HOUR(B77)&lt;15,"昼(11-14時)",IF(HOUR(B77)&lt;19,"夕方(15-18時)","夜(19-23時)")))))</f>
        <v>夜(19-23時)</v>
      </c>
      <c r="P77" s="32" t="n">
        <f aca="false">IF(M77="","",M77+ROW()/1000000000)</f>
        <v>0.0271450115613185</v>
      </c>
    </row>
    <row r="78" customFormat="false" ht="15" hidden="false" customHeight="false" outlineLevel="0" collapsed="false">
      <c r="A78" s="25" t="n">
        <v>46252</v>
      </c>
      <c r="B78" s="26" t="n">
        <v>0.989583333333333</v>
      </c>
      <c r="C78" s="27" t="s">
        <v>30</v>
      </c>
      <c r="D78" s="28" t="s">
        <v>31</v>
      </c>
      <c r="E78" s="28" t="s">
        <v>86</v>
      </c>
      <c r="F78" s="29" t="n">
        <v>2349</v>
      </c>
      <c r="G78" s="29" t="n">
        <v>23</v>
      </c>
      <c r="H78" s="29" t="n">
        <v>5</v>
      </c>
      <c r="I78" s="29" t="n">
        <v>3</v>
      </c>
      <c r="J78" s="29" t="n">
        <v>1</v>
      </c>
      <c r="K78" s="29" t="n">
        <v>1</v>
      </c>
      <c r="L78" s="30" t="n">
        <f aca="false">IF(A78="","",SUM(G78:K78))</f>
        <v>33</v>
      </c>
      <c r="M78" s="31" t="n">
        <f aca="false">IF(A78="","",IF(F78=0,0,L78/F78))</f>
        <v>0.0140485312899106</v>
      </c>
      <c r="N78" s="5" t="str">
        <f aca="false">IF(A78="","",CHOOSE(WEEKDAY(A78,2),"月","火","水","木","金","土","日"))</f>
        <v>火</v>
      </c>
      <c r="O78" s="5" t="str">
        <f aca="false">IF(B78="","",IF(HOUR(B78)&lt;6,"深夜(0-5時)",IF(HOUR(B78)&lt;11,"朝(6-10時)",IF(HOUR(B78)&lt;15,"昼(11-14時)",IF(HOUR(B78)&lt;19,"夕方(15-18時)","夜(19-23時)")))))</f>
        <v>夜(19-23時)</v>
      </c>
      <c r="P78" s="32" t="n">
        <f aca="false">IF(M78="","",M78+ROW()/1000000000)</f>
        <v>0.0140486092899106</v>
      </c>
    </row>
    <row r="79" customFormat="false" ht="15" hidden="false" customHeight="false" outlineLevel="0" collapsed="false">
      <c r="A79" s="25" t="n">
        <v>46252</v>
      </c>
      <c r="B79" s="26" t="n">
        <v>0.854166666666667</v>
      </c>
      <c r="C79" s="27" t="s">
        <v>36</v>
      </c>
      <c r="D79" s="28" t="s">
        <v>55</v>
      </c>
      <c r="E79" s="28" t="s">
        <v>85</v>
      </c>
      <c r="F79" s="29" t="n">
        <v>1343</v>
      </c>
      <c r="G79" s="29" t="n">
        <v>31</v>
      </c>
      <c r="H79" s="29" t="n">
        <v>4</v>
      </c>
      <c r="I79" s="29" t="n">
        <v>11</v>
      </c>
      <c r="J79" s="29" t="n">
        <v>2</v>
      </c>
      <c r="K79" s="29" t="n">
        <v>0</v>
      </c>
      <c r="L79" s="30" t="n">
        <f aca="false">IF(A79="","",SUM(G79:K79))</f>
        <v>48</v>
      </c>
      <c r="M79" s="31" t="n">
        <f aca="false">IF(A79="","",IF(F79=0,0,L79/F79))</f>
        <v>0.035740878629933</v>
      </c>
      <c r="N79" s="5" t="str">
        <f aca="false">IF(A79="","",CHOOSE(WEEKDAY(A79,2),"月","火","水","木","金","土","日"))</f>
        <v>火</v>
      </c>
      <c r="O79" s="5" t="str">
        <f aca="false">IF(B79="","",IF(HOUR(B79)&lt;6,"深夜(0-5時)",IF(HOUR(B79)&lt;11,"朝(6-10時)",IF(HOUR(B79)&lt;15,"昼(11-14時)",IF(HOUR(B79)&lt;19,"夕方(15-18時)","夜(19-23時)")))))</f>
        <v>夜(19-23時)</v>
      </c>
      <c r="P79" s="32" t="n">
        <f aca="false">IF(M79="","",M79+ROW()/1000000000)</f>
        <v>0.035740957629933</v>
      </c>
    </row>
    <row r="80" customFormat="false" ht="15" hidden="false" customHeight="false" outlineLevel="0" collapsed="false">
      <c r="A80" s="25" t="n">
        <v>46253</v>
      </c>
      <c r="B80" s="26" t="n">
        <v>0.572916666666667</v>
      </c>
      <c r="C80" s="27" t="s">
        <v>30</v>
      </c>
      <c r="D80" s="28" t="s">
        <v>54</v>
      </c>
      <c r="E80" s="28" t="s">
        <v>32</v>
      </c>
      <c r="F80" s="29" t="n">
        <v>3183</v>
      </c>
      <c r="G80" s="29" t="n">
        <v>27</v>
      </c>
      <c r="H80" s="29" t="n">
        <v>6</v>
      </c>
      <c r="I80" s="29" t="n">
        <v>3</v>
      </c>
      <c r="J80" s="29" t="n">
        <v>1</v>
      </c>
      <c r="K80" s="29" t="n">
        <v>2</v>
      </c>
      <c r="L80" s="30" t="n">
        <f aca="false">IF(A80="","",SUM(G80:K80))</f>
        <v>39</v>
      </c>
      <c r="M80" s="31" t="n">
        <f aca="false">IF(A80="","",IF(F80=0,0,L80/F80))</f>
        <v>0.0122525918944392</v>
      </c>
      <c r="N80" s="5" t="str">
        <f aca="false">IF(A80="","",CHOOSE(WEEKDAY(A80,2),"月","火","水","木","金","土","日"))</f>
        <v>水</v>
      </c>
      <c r="O80" s="5" t="str">
        <f aca="false">IF(B80="","",IF(HOUR(B80)&lt;6,"深夜(0-5時)",IF(HOUR(B80)&lt;11,"朝(6-10時)",IF(HOUR(B80)&lt;15,"昼(11-14時)",IF(HOUR(B80)&lt;19,"夕方(15-18時)","夜(19-23時)")))))</f>
        <v>昼(11-14時)</v>
      </c>
      <c r="P80" s="32" t="n">
        <f aca="false">IF(M80="","",M80+ROW()/1000000000)</f>
        <v>0.0122526718944392</v>
      </c>
    </row>
    <row r="81" customFormat="false" ht="15" hidden="false" customHeight="false" outlineLevel="0" collapsed="false">
      <c r="A81" s="25" t="n">
        <v>46253</v>
      </c>
      <c r="B81" s="26" t="n">
        <v>0.322916666666667</v>
      </c>
      <c r="C81" s="27" t="s">
        <v>36</v>
      </c>
      <c r="D81" s="28" t="s">
        <v>55</v>
      </c>
      <c r="E81" s="28" t="s">
        <v>85</v>
      </c>
      <c r="F81" s="29" t="n">
        <v>1794</v>
      </c>
      <c r="G81" s="29" t="n">
        <v>40</v>
      </c>
      <c r="H81" s="29" t="n">
        <v>5</v>
      </c>
      <c r="I81" s="29" t="n">
        <v>14</v>
      </c>
      <c r="J81" s="29" t="n">
        <v>2</v>
      </c>
      <c r="K81" s="29" t="n">
        <v>0</v>
      </c>
      <c r="L81" s="30" t="n">
        <f aca="false">IF(A81="","",SUM(G81:K81))</f>
        <v>61</v>
      </c>
      <c r="M81" s="31" t="n">
        <f aca="false">IF(A81="","",IF(F81=0,0,L81/F81))</f>
        <v>0.0340022296544036</v>
      </c>
      <c r="N81" s="5" t="str">
        <f aca="false">IF(A81="","",CHOOSE(WEEKDAY(A81,2),"月","火","水","木","金","土","日"))</f>
        <v>水</v>
      </c>
      <c r="O81" s="5" t="str">
        <f aca="false">IF(B81="","",IF(HOUR(B81)&lt;6,"深夜(0-5時)",IF(HOUR(B81)&lt;11,"朝(6-10時)",IF(HOUR(B81)&lt;15,"昼(11-14時)",IF(HOUR(B81)&lt;19,"夕方(15-18時)","夜(19-23時)")))))</f>
        <v>朝(6-10時)</v>
      </c>
      <c r="P81" s="32" t="n">
        <f aca="false">IF(M81="","",M81+ROW()/1000000000)</f>
        <v>0.0340023106544036</v>
      </c>
    </row>
    <row r="82" customFormat="false" ht="15" hidden="false" customHeight="false" outlineLevel="0" collapsed="false">
      <c r="A82" s="25" t="n">
        <v>46254</v>
      </c>
      <c r="B82" s="26" t="n">
        <v>0.3125</v>
      </c>
      <c r="C82" s="27" t="s">
        <v>30</v>
      </c>
      <c r="D82" s="28" t="s">
        <v>54</v>
      </c>
      <c r="E82" s="28" t="s">
        <v>79</v>
      </c>
      <c r="F82" s="29" t="n">
        <v>2259</v>
      </c>
      <c r="G82" s="29" t="n">
        <v>20</v>
      </c>
      <c r="H82" s="29" t="n">
        <v>4</v>
      </c>
      <c r="I82" s="29" t="n">
        <v>3</v>
      </c>
      <c r="J82" s="29" t="n">
        <v>1</v>
      </c>
      <c r="K82" s="29" t="n">
        <v>1</v>
      </c>
      <c r="L82" s="30" t="n">
        <f aca="false">IF(A82="","",SUM(G82:K82))</f>
        <v>29</v>
      </c>
      <c r="M82" s="31" t="n">
        <f aca="false">IF(A82="","",IF(F82=0,0,L82/F82))</f>
        <v>0.0128375387339531</v>
      </c>
      <c r="N82" s="5" t="str">
        <f aca="false">IF(A82="","",CHOOSE(WEEKDAY(A82,2),"月","火","水","木","金","土","日"))</f>
        <v>木</v>
      </c>
      <c r="O82" s="5" t="str">
        <f aca="false">IF(B82="","",IF(HOUR(B82)&lt;6,"深夜(0-5時)",IF(HOUR(B82)&lt;11,"朝(6-10時)",IF(HOUR(B82)&lt;15,"昼(11-14時)",IF(HOUR(B82)&lt;19,"夕方(15-18時)","夜(19-23時)")))))</f>
        <v>朝(6-10時)</v>
      </c>
      <c r="P82" s="32" t="n">
        <f aca="false">IF(M82="","",M82+ROW()/1000000000)</f>
        <v>0.0128376207339531</v>
      </c>
    </row>
    <row r="83" customFormat="false" ht="15" hidden="false" customHeight="false" outlineLevel="0" collapsed="false">
      <c r="A83" s="25" t="n">
        <v>46255</v>
      </c>
      <c r="B83" s="26" t="n">
        <v>0.770833333333333</v>
      </c>
      <c r="C83" s="27" t="s">
        <v>30</v>
      </c>
      <c r="D83" s="28" t="s">
        <v>54</v>
      </c>
      <c r="E83" s="28" t="s">
        <v>84</v>
      </c>
      <c r="F83" s="29" t="n">
        <v>2629</v>
      </c>
      <c r="G83" s="29" t="n">
        <v>20</v>
      </c>
      <c r="H83" s="29" t="n">
        <v>4</v>
      </c>
      <c r="I83" s="29" t="n">
        <v>3</v>
      </c>
      <c r="J83" s="29" t="n">
        <v>1</v>
      </c>
      <c r="K83" s="29" t="n">
        <v>1</v>
      </c>
      <c r="L83" s="30" t="n">
        <f aca="false">IF(A83="","",SUM(G83:K83))</f>
        <v>29</v>
      </c>
      <c r="M83" s="31" t="n">
        <f aca="false">IF(A83="","",IF(F83=0,0,L83/F83))</f>
        <v>0.0110308101939901</v>
      </c>
      <c r="N83" s="5" t="str">
        <f aca="false">IF(A83="","",CHOOSE(WEEKDAY(A83,2),"月","火","水","木","金","土","日"))</f>
        <v>金</v>
      </c>
      <c r="O83" s="5" t="str">
        <f aca="false">IF(B83="","",IF(HOUR(B83)&lt;6,"深夜(0-5時)",IF(HOUR(B83)&lt;11,"朝(6-10時)",IF(HOUR(B83)&lt;15,"昼(11-14時)",IF(HOUR(B83)&lt;19,"夕方(15-18時)","夜(19-23時)")))))</f>
        <v>夕方(15-18時)</v>
      </c>
      <c r="P83" s="32" t="n">
        <f aca="false">IF(M83="","",M83+ROW()/1000000000)</f>
        <v>0.0110308931939901</v>
      </c>
    </row>
    <row r="84" customFormat="false" ht="15" hidden="false" customHeight="false" outlineLevel="0" collapsed="false">
      <c r="A84" s="25" t="n">
        <v>46255</v>
      </c>
      <c r="B84" s="26" t="n">
        <v>0.302083333333333</v>
      </c>
      <c r="C84" s="27" t="s">
        <v>36</v>
      </c>
      <c r="D84" s="28" t="s">
        <v>31</v>
      </c>
      <c r="E84" s="28" t="s">
        <v>80</v>
      </c>
      <c r="F84" s="29" t="n">
        <v>1912</v>
      </c>
      <c r="G84" s="29" t="n">
        <v>62</v>
      </c>
      <c r="H84" s="29" t="n">
        <v>8</v>
      </c>
      <c r="I84" s="29" t="n">
        <v>22</v>
      </c>
      <c r="J84" s="29" t="n">
        <v>4</v>
      </c>
      <c r="K84" s="29" t="n">
        <v>0</v>
      </c>
      <c r="L84" s="30" t="n">
        <f aca="false">IF(A84="","",SUM(G84:K84))</f>
        <v>96</v>
      </c>
      <c r="M84" s="31" t="n">
        <f aca="false">IF(A84="","",IF(F84=0,0,L84/F84))</f>
        <v>0.0502092050209205</v>
      </c>
      <c r="N84" s="5" t="str">
        <f aca="false">IF(A84="","",CHOOSE(WEEKDAY(A84,2),"月","火","水","木","金","土","日"))</f>
        <v>金</v>
      </c>
      <c r="O84" s="5" t="str">
        <f aca="false">IF(B84="","",IF(HOUR(B84)&lt;6,"深夜(0-5時)",IF(HOUR(B84)&lt;11,"朝(6-10時)",IF(HOUR(B84)&lt;15,"昼(11-14時)",IF(HOUR(B84)&lt;19,"夕方(15-18時)","夜(19-23時)")))))</f>
        <v>朝(6-10時)</v>
      </c>
      <c r="P84" s="32" t="n">
        <f aca="false">IF(M84="","",M84+ROW()/1000000000)</f>
        <v>0.0502092890209205</v>
      </c>
    </row>
    <row r="85" customFormat="false" ht="15" hidden="false" customHeight="false" outlineLevel="0" collapsed="false">
      <c r="A85" s="25" t="n">
        <v>46256</v>
      </c>
      <c r="B85" s="26" t="n">
        <v>0.510416666666667</v>
      </c>
      <c r="C85" s="27" t="s">
        <v>30</v>
      </c>
      <c r="D85" s="28" t="s">
        <v>54</v>
      </c>
      <c r="E85" s="28" t="s">
        <v>78</v>
      </c>
      <c r="F85" s="29" t="n">
        <v>2016</v>
      </c>
      <c r="G85" s="29" t="n">
        <v>31</v>
      </c>
      <c r="H85" s="29" t="n">
        <v>7</v>
      </c>
      <c r="I85" s="29" t="n">
        <v>4</v>
      </c>
      <c r="J85" s="29" t="n">
        <v>2</v>
      </c>
      <c r="K85" s="29" t="n">
        <v>2</v>
      </c>
      <c r="L85" s="30" t="n">
        <f aca="false">IF(A85="","",SUM(G85:K85))</f>
        <v>46</v>
      </c>
      <c r="M85" s="31" t="n">
        <f aca="false">IF(A85="","",IF(F85=0,0,L85/F85))</f>
        <v>0.0228174603174603</v>
      </c>
      <c r="N85" s="5" t="str">
        <f aca="false">IF(A85="","",CHOOSE(WEEKDAY(A85,2),"月","火","水","木","金","土","日"))</f>
        <v>土</v>
      </c>
      <c r="O85" s="5" t="str">
        <f aca="false">IF(B85="","",IF(HOUR(B85)&lt;6,"深夜(0-5時)",IF(HOUR(B85)&lt;11,"朝(6-10時)",IF(HOUR(B85)&lt;15,"昼(11-14時)",IF(HOUR(B85)&lt;19,"夕方(15-18時)","夜(19-23時)")))))</f>
        <v>昼(11-14時)</v>
      </c>
      <c r="P85" s="32" t="n">
        <f aca="false">IF(M85="","",M85+ROW()/1000000000)</f>
        <v>0.0228175453174603</v>
      </c>
    </row>
    <row r="86" customFormat="false" ht="15" hidden="false" customHeight="false" outlineLevel="0" collapsed="false">
      <c r="A86" s="25" t="n">
        <v>46256</v>
      </c>
      <c r="B86" s="26" t="n">
        <v>0.9375</v>
      </c>
      <c r="C86" s="27" t="s">
        <v>36</v>
      </c>
      <c r="D86" s="28" t="s">
        <v>55</v>
      </c>
      <c r="E86" s="28" t="s">
        <v>79</v>
      </c>
      <c r="F86" s="29" t="n">
        <v>2181</v>
      </c>
      <c r="G86" s="29" t="n">
        <v>74</v>
      </c>
      <c r="H86" s="29" t="n">
        <v>9</v>
      </c>
      <c r="I86" s="29" t="n">
        <v>26</v>
      </c>
      <c r="J86" s="29" t="n">
        <v>4</v>
      </c>
      <c r="K86" s="29" t="n">
        <v>0</v>
      </c>
      <c r="L86" s="30" t="n">
        <f aca="false">IF(A86="","",SUM(G86:K86))</f>
        <v>113</v>
      </c>
      <c r="M86" s="31" t="n">
        <f aca="false">IF(A86="","",IF(F86=0,0,L86/F86))</f>
        <v>0.051811095827602</v>
      </c>
      <c r="N86" s="5" t="str">
        <f aca="false">IF(A86="","",CHOOSE(WEEKDAY(A86,2),"月","火","水","木","金","土","日"))</f>
        <v>土</v>
      </c>
      <c r="O86" s="5" t="str">
        <f aca="false">IF(B86="","",IF(HOUR(B86)&lt;6,"深夜(0-5時)",IF(HOUR(B86)&lt;11,"朝(6-10時)",IF(HOUR(B86)&lt;15,"昼(11-14時)",IF(HOUR(B86)&lt;19,"夕方(15-18時)","夜(19-23時)")))))</f>
        <v>夜(19-23時)</v>
      </c>
      <c r="P86" s="32" t="n">
        <f aca="false">IF(M86="","",M86+ROW()/1000000000)</f>
        <v>0.051811181827602</v>
      </c>
    </row>
    <row r="87" customFormat="false" ht="15" hidden="false" customHeight="false" outlineLevel="0" collapsed="false">
      <c r="A87" s="25" t="n">
        <v>46257</v>
      </c>
      <c r="B87" s="26" t="n">
        <v>0.96875</v>
      </c>
      <c r="C87" s="27" t="s">
        <v>30</v>
      </c>
      <c r="D87" s="28" t="s">
        <v>54</v>
      </c>
      <c r="E87" s="28" t="s">
        <v>32</v>
      </c>
      <c r="F87" s="29" t="n">
        <v>3110</v>
      </c>
      <c r="G87" s="29" t="n">
        <v>20</v>
      </c>
      <c r="H87" s="29" t="n">
        <v>4</v>
      </c>
      <c r="I87" s="29" t="n">
        <v>2</v>
      </c>
      <c r="J87" s="29" t="n">
        <v>1</v>
      </c>
      <c r="K87" s="29" t="n">
        <v>1</v>
      </c>
      <c r="L87" s="30" t="n">
        <f aca="false">IF(A87="","",SUM(G87:K87))</f>
        <v>28</v>
      </c>
      <c r="M87" s="31" t="n">
        <f aca="false">IF(A87="","",IF(F87=0,0,L87/F87))</f>
        <v>0.0090032154340836</v>
      </c>
      <c r="N87" s="5" t="str">
        <f aca="false">IF(A87="","",CHOOSE(WEEKDAY(A87,2),"月","火","水","木","金","土","日"))</f>
        <v>日</v>
      </c>
      <c r="O87" s="5" t="str">
        <f aca="false">IF(B87="","",IF(HOUR(B87)&lt;6,"深夜(0-5時)",IF(HOUR(B87)&lt;11,"朝(6-10時)",IF(HOUR(B87)&lt;15,"昼(11-14時)",IF(HOUR(B87)&lt;19,"夕方(15-18時)","夜(19-23時)")))))</f>
        <v>夜(19-23時)</v>
      </c>
      <c r="P87" s="32" t="n">
        <f aca="false">IF(M87="","",M87+ROW()/1000000000)</f>
        <v>0.0090033024340836</v>
      </c>
    </row>
    <row r="88" customFormat="false" ht="15" hidden="false" customHeight="false" outlineLevel="0" collapsed="false">
      <c r="A88" s="25" t="n">
        <v>46257</v>
      </c>
      <c r="B88" s="26" t="n">
        <v>0.854166666666667</v>
      </c>
      <c r="C88" s="27" t="s">
        <v>36</v>
      </c>
      <c r="D88" s="28" t="s">
        <v>31</v>
      </c>
      <c r="E88" s="28" t="s">
        <v>85</v>
      </c>
      <c r="F88" s="29" t="n">
        <v>1600</v>
      </c>
      <c r="G88" s="29" t="n">
        <v>85</v>
      </c>
      <c r="H88" s="29" t="n">
        <v>10</v>
      </c>
      <c r="I88" s="29" t="n">
        <v>30</v>
      </c>
      <c r="J88" s="29" t="n">
        <v>5</v>
      </c>
      <c r="K88" s="29" t="n">
        <v>0</v>
      </c>
      <c r="L88" s="30" t="n">
        <f aca="false">IF(A88="","",SUM(G88:K88))</f>
        <v>130</v>
      </c>
      <c r="M88" s="31" t="n">
        <f aca="false">IF(A88="","",IF(F88=0,0,L88/F88))</f>
        <v>0.08125</v>
      </c>
      <c r="N88" s="5" t="str">
        <f aca="false">IF(A88="","",CHOOSE(WEEKDAY(A88,2),"月","火","水","木","金","土","日"))</f>
        <v>日</v>
      </c>
      <c r="O88" s="5" t="str">
        <f aca="false">IF(B88="","",IF(HOUR(B88)&lt;6,"深夜(0-5時)",IF(HOUR(B88)&lt;11,"朝(6-10時)",IF(HOUR(B88)&lt;15,"昼(11-14時)",IF(HOUR(B88)&lt;19,"夕方(15-18時)","夜(19-23時)")))))</f>
        <v>夜(19-23時)</v>
      </c>
      <c r="P88" s="32" t="n">
        <f aca="false">IF(M88="","",M88+ROW()/1000000000)</f>
        <v>0.081250088</v>
      </c>
    </row>
    <row r="89" customFormat="false" ht="15" hidden="false" customHeight="false" outlineLevel="0" collapsed="false">
      <c r="A89" s="25" t="n">
        <v>46258</v>
      </c>
      <c r="B89" s="26" t="n">
        <v>0.90625</v>
      </c>
      <c r="C89" s="27" t="s">
        <v>30</v>
      </c>
      <c r="D89" s="28" t="s">
        <v>31</v>
      </c>
      <c r="E89" s="28" t="s">
        <v>80</v>
      </c>
      <c r="F89" s="29" t="n">
        <v>4876</v>
      </c>
      <c r="G89" s="29" t="n">
        <v>128</v>
      </c>
      <c r="H89" s="29" t="n">
        <v>29</v>
      </c>
      <c r="I89" s="29" t="n">
        <v>18</v>
      </c>
      <c r="J89" s="29" t="n">
        <v>8</v>
      </c>
      <c r="K89" s="29" t="n">
        <v>10</v>
      </c>
      <c r="L89" s="30" t="n">
        <f aca="false">IF(A89="","",SUM(G89:K89))</f>
        <v>193</v>
      </c>
      <c r="M89" s="31" t="n">
        <f aca="false">IF(A89="","",IF(F89=0,0,L89/F89))</f>
        <v>0.0395816242821985</v>
      </c>
      <c r="N89" s="5" t="str">
        <f aca="false">IF(A89="","",CHOOSE(WEEKDAY(A89,2),"月","火","水","木","金","土","日"))</f>
        <v>月</v>
      </c>
      <c r="O89" s="5" t="str">
        <f aca="false">IF(B89="","",IF(HOUR(B89)&lt;6,"深夜(0-5時)",IF(HOUR(B89)&lt;11,"朝(6-10時)",IF(HOUR(B89)&lt;15,"昼(11-14時)",IF(HOUR(B89)&lt;19,"夕方(15-18時)","夜(19-23時)")))))</f>
        <v>夜(19-23時)</v>
      </c>
      <c r="P89" s="32" t="n">
        <f aca="false">IF(M89="","",M89+ROW()/1000000000)</f>
        <v>0.0395817132821985</v>
      </c>
    </row>
    <row r="90" customFormat="false" ht="15" hidden="false" customHeight="false" outlineLevel="0" collapsed="false">
      <c r="A90" s="25" t="n">
        <v>46258</v>
      </c>
      <c r="B90" s="26" t="n">
        <v>0.78125</v>
      </c>
      <c r="C90" s="27" t="s">
        <v>36</v>
      </c>
      <c r="D90" s="28" t="s">
        <v>55</v>
      </c>
      <c r="E90" s="28" t="s">
        <v>81</v>
      </c>
      <c r="F90" s="29" t="n">
        <v>1590</v>
      </c>
      <c r="G90" s="29" t="n">
        <v>35</v>
      </c>
      <c r="H90" s="29" t="n">
        <v>4</v>
      </c>
      <c r="I90" s="29" t="n">
        <v>12</v>
      </c>
      <c r="J90" s="29" t="n">
        <v>2</v>
      </c>
      <c r="K90" s="29" t="n">
        <v>0</v>
      </c>
      <c r="L90" s="30" t="n">
        <f aca="false">IF(A90="","",SUM(G90:K90))</f>
        <v>53</v>
      </c>
      <c r="M90" s="31" t="n">
        <f aca="false">IF(A90="","",IF(F90=0,0,L90/F90))</f>
        <v>0.0333333333333333</v>
      </c>
      <c r="N90" s="5" t="str">
        <f aca="false">IF(A90="","",CHOOSE(WEEKDAY(A90,2),"月","火","水","木","金","土","日"))</f>
        <v>月</v>
      </c>
      <c r="O90" s="5" t="str">
        <f aca="false">IF(B90="","",IF(HOUR(B90)&lt;6,"深夜(0-5時)",IF(HOUR(B90)&lt;11,"朝(6-10時)",IF(HOUR(B90)&lt;15,"昼(11-14時)",IF(HOUR(B90)&lt;19,"夕方(15-18時)","夜(19-23時)")))))</f>
        <v>夕方(15-18時)</v>
      </c>
      <c r="P90" s="32" t="n">
        <f aca="false">IF(M90="","",M90+ROW()/1000000000)</f>
        <v>0.0333334233333333</v>
      </c>
    </row>
    <row r="91" customFormat="false" ht="15" hidden="false" customHeight="false" outlineLevel="0" collapsed="false">
      <c r="A91" s="25" t="n">
        <v>46259</v>
      </c>
      <c r="B91" s="26" t="n">
        <v>0.375</v>
      </c>
      <c r="C91" s="27" t="s">
        <v>30</v>
      </c>
      <c r="D91" s="28" t="s">
        <v>54</v>
      </c>
      <c r="E91" s="28" t="s">
        <v>80</v>
      </c>
      <c r="F91" s="29" t="n">
        <v>1676</v>
      </c>
      <c r="G91" s="29" t="n">
        <v>18</v>
      </c>
      <c r="H91" s="29" t="n">
        <v>4</v>
      </c>
      <c r="I91" s="29" t="n">
        <v>2</v>
      </c>
      <c r="J91" s="29" t="n">
        <v>1</v>
      </c>
      <c r="K91" s="29" t="n">
        <v>1</v>
      </c>
      <c r="L91" s="30" t="n">
        <f aca="false">IF(A91="","",SUM(G91:K91))</f>
        <v>26</v>
      </c>
      <c r="M91" s="31" t="n">
        <f aca="false">IF(A91="","",IF(F91=0,0,L91/F91))</f>
        <v>0.0155131264916468</v>
      </c>
      <c r="N91" s="5" t="str">
        <f aca="false">IF(A91="","",CHOOSE(WEEKDAY(A91,2),"月","火","水","木","金","土","日"))</f>
        <v>火</v>
      </c>
      <c r="O91" s="5" t="str">
        <f aca="false">IF(B91="","",IF(HOUR(B91)&lt;6,"深夜(0-5時)",IF(HOUR(B91)&lt;11,"朝(6-10時)",IF(HOUR(B91)&lt;15,"昼(11-14時)",IF(HOUR(B91)&lt;19,"夕方(15-18時)","夜(19-23時)")))))</f>
        <v>朝(6-10時)</v>
      </c>
      <c r="P91" s="32" t="n">
        <f aca="false">IF(M91="","",M91+ROW()/1000000000)</f>
        <v>0.0155132174916468</v>
      </c>
    </row>
    <row r="92" customFormat="false" ht="15" hidden="false" customHeight="false" outlineLevel="0" collapsed="false">
      <c r="A92" s="25" t="n">
        <v>46259</v>
      </c>
      <c r="B92" s="26" t="n">
        <v>0.395833333333333</v>
      </c>
      <c r="C92" s="27" t="s">
        <v>36</v>
      </c>
      <c r="D92" s="28" t="s">
        <v>31</v>
      </c>
      <c r="E92" s="28" t="s">
        <v>79</v>
      </c>
      <c r="F92" s="29" t="n">
        <v>888</v>
      </c>
      <c r="G92" s="29" t="n">
        <v>19</v>
      </c>
      <c r="H92" s="29" t="n">
        <v>2</v>
      </c>
      <c r="I92" s="29" t="n">
        <v>6</v>
      </c>
      <c r="J92" s="29" t="n">
        <v>1</v>
      </c>
      <c r="K92" s="29" t="n">
        <v>0</v>
      </c>
      <c r="L92" s="30" t="n">
        <f aca="false">IF(A92="","",SUM(G92:K92))</f>
        <v>28</v>
      </c>
      <c r="M92" s="31" t="n">
        <f aca="false">IF(A92="","",IF(F92=0,0,L92/F92))</f>
        <v>0.0315315315315315</v>
      </c>
      <c r="N92" s="5" t="str">
        <f aca="false">IF(A92="","",CHOOSE(WEEKDAY(A92,2),"月","火","水","木","金","土","日"))</f>
        <v>火</v>
      </c>
      <c r="O92" s="5" t="str">
        <f aca="false">IF(B92="","",IF(HOUR(B92)&lt;6,"深夜(0-5時)",IF(HOUR(B92)&lt;11,"朝(6-10時)",IF(HOUR(B92)&lt;15,"昼(11-14時)",IF(HOUR(B92)&lt;19,"夕方(15-18時)","夜(19-23時)")))))</f>
        <v>朝(6-10時)</v>
      </c>
      <c r="P92" s="32" t="n">
        <f aca="false">IF(M92="","",M92+ROW()/1000000000)</f>
        <v>0.0315316235315315</v>
      </c>
    </row>
    <row r="93" customFormat="false" ht="15" hidden="false" customHeight="false" outlineLevel="0" collapsed="false">
      <c r="A93" s="25" t="n">
        <v>46260</v>
      </c>
      <c r="B93" s="26" t="n">
        <v>0.84375</v>
      </c>
      <c r="C93" s="27" t="s">
        <v>30</v>
      </c>
      <c r="D93" s="28" t="s">
        <v>55</v>
      </c>
      <c r="E93" s="28" t="s">
        <v>82</v>
      </c>
      <c r="F93" s="29" t="n">
        <v>2239</v>
      </c>
      <c r="G93" s="29" t="n">
        <v>73</v>
      </c>
      <c r="H93" s="29" t="n">
        <v>16</v>
      </c>
      <c r="I93" s="29" t="n">
        <v>10</v>
      </c>
      <c r="J93" s="29" t="n">
        <v>4</v>
      </c>
      <c r="K93" s="29" t="n">
        <v>5</v>
      </c>
      <c r="L93" s="30" t="n">
        <f aca="false">IF(A93="","",SUM(G93:K93))</f>
        <v>108</v>
      </c>
      <c r="M93" s="31" t="n">
        <f aca="false">IF(A93="","",IF(F93=0,0,L93/F93))</f>
        <v>0.0482358195623046</v>
      </c>
      <c r="N93" s="5" t="str">
        <f aca="false">IF(A93="","",CHOOSE(WEEKDAY(A93,2),"月","火","水","木","金","土","日"))</f>
        <v>水</v>
      </c>
      <c r="O93" s="5" t="str">
        <f aca="false">IF(B93="","",IF(HOUR(B93)&lt;6,"深夜(0-5時)",IF(HOUR(B93)&lt;11,"朝(6-10時)",IF(HOUR(B93)&lt;15,"昼(11-14時)",IF(HOUR(B93)&lt;19,"夕方(15-18時)","夜(19-23時)")))))</f>
        <v>夜(19-23時)</v>
      </c>
      <c r="P93" s="32" t="n">
        <f aca="false">IF(M93="","",M93+ROW()/1000000000)</f>
        <v>0.0482359125623046</v>
      </c>
    </row>
    <row r="94" customFormat="false" ht="15" hidden="false" customHeight="false" outlineLevel="0" collapsed="false">
      <c r="A94" s="25" t="n">
        <v>46260</v>
      </c>
      <c r="B94" s="26" t="n">
        <v>0.333333333333333</v>
      </c>
      <c r="C94" s="27" t="s">
        <v>36</v>
      </c>
      <c r="D94" s="28" t="s">
        <v>55</v>
      </c>
      <c r="E94" s="28" t="s">
        <v>83</v>
      </c>
      <c r="F94" s="29" t="n">
        <v>660</v>
      </c>
      <c r="G94" s="29" t="n">
        <v>9</v>
      </c>
      <c r="H94" s="29" t="n">
        <v>1</v>
      </c>
      <c r="I94" s="29" t="n">
        <v>3</v>
      </c>
      <c r="J94" s="29" t="n">
        <v>0</v>
      </c>
      <c r="K94" s="29" t="n">
        <v>0</v>
      </c>
      <c r="L94" s="30" t="n">
        <f aca="false">IF(A94="","",SUM(G94:K94))</f>
        <v>13</v>
      </c>
      <c r="M94" s="31" t="n">
        <f aca="false">IF(A94="","",IF(F94=0,0,L94/F94))</f>
        <v>0.0196969696969697</v>
      </c>
      <c r="N94" s="5" t="str">
        <f aca="false">IF(A94="","",CHOOSE(WEEKDAY(A94,2),"月","火","水","木","金","土","日"))</f>
        <v>水</v>
      </c>
      <c r="O94" s="5" t="str">
        <f aca="false">IF(B94="","",IF(HOUR(B94)&lt;6,"深夜(0-5時)",IF(HOUR(B94)&lt;11,"朝(6-10時)",IF(HOUR(B94)&lt;15,"昼(11-14時)",IF(HOUR(B94)&lt;19,"夕方(15-18時)","夜(19-23時)")))))</f>
        <v>朝(6-10時)</v>
      </c>
      <c r="P94" s="32" t="n">
        <f aca="false">IF(M94="","",M94+ROW()/1000000000)</f>
        <v>0.0196970636969697</v>
      </c>
    </row>
    <row r="95" customFormat="false" ht="15" hidden="false" customHeight="false" outlineLevel="0" collapsed="false">
      <c r="A95" s="25" t="n">
        <v>46261</v>
      </c>
      <c r="B95" s="26" t="n">
        <v>0.0416666666666667</v>
      </c>
      <c r="C95" s="27" t="s">
        <v>30</v>
      </c>
      <c r="D95" s="28" t="s">
        <v>54</v>
      </c>
      <c r="E95" s="28" t="s">
        <v>83</v>
      </c>
      <c r="F95" s="29" t="n">
        <v>2349</v>
      </c>
      <c r="G95" s="29" t="n">
        <v>17</v>
      </c>
      <c r="H95" s="29" t="n">
        <v>3</v>
      </c>
      <c r="I95" s="29" t="n">
        <v>2</v>
      </c>
      <c r="J95" s="29" t="n">
        <v>1</v>
      </c>
      <c r="K95" s="29" t="n">
        <v>1</v>
      </c>
      <c r="L95" s="30" t="n">
        <f aca="false">IF(A95="","",SUM(G95:K95))</f>
        <v>24</v>
      </c>
      <c r="M95" s="31" t="n">
        <f aca="false">IF(A95="","",IF(F95=0,0,L95/F95))</f>
        <v>0.0102171136653895</v>
      </c>
      <c r="N95" s="5" t="str">
        <f aca="false">IF(A95="","",CHOOSE(WEEKDAY(A95,2),"月","火","水","木","金","土","日"))</f>
        <v>木</v>
      </c>
      <c r="O95" s="5" t="str">
        <f aca="false">IF(B95="","",IF(HOUR(B95)&lt;6,"深夜(0-5時)",IF(HOUR(B95)&lt;11,"朝(6-10時)",IF(HOUR(B95)&lt;15,"昼(11-14時)",IF(HOUR(B95)&lt;19,"夕方(15-18時)","夜(19-23時)")))))</f>
        <v>深夜(0-5時)</v>
      </c>
      <c r="P95" s="32" t="n">
        <f aca="false">IF(M95="","",M95+ROW()/1000000000)</f>
        <v>0.0102172086653895</v>
      </c>
    </row>
    <row r="96" customFormat="false" ht="15" hidden="false" customHeight="false" outlineLevel="0" collapsed="false">
      <c r="A96" s="25" t="n">
        <v>46261</v>
      </c>
      <c r="B96" s="26" t="n">
        <v>0.916666666666667</v>
      </c>
      <c r="C96" s="27" t="s">
        <v>36</v>
      </c>
      <c r="D96" s="28" t="s">
        <v>31</v>
      </c>
      <c r="E96" s="28" t="s">
        <v>32</v>
      </c>
      <c r="F96" s="29" t="n">
        <v>1039</v>
      </c>
      <c r="G96" s="29" t="n">
        <v>35</v>
      </c>
      <c r="H96" s="29" t="n">
        <v>4</v>
      </c>
      <c r="I96" s="29" t="n">
        <v>12</v>
      </c>
      <c r="J96" s="29" t="n">
        <v>2</v>
      </c>
      <c r="K96" s="29" t="n">
        <v>0</v>
      </c>
      <c r="L96" s="30" t="n">
        <f aca="false">IF(A96="","",SUM(G96:K96))</f>
        <v>53</v>
      </c>
      <c r="M96" s="31" t="n">
        <f aca="false">IF(A96="","",IF(F96=0,0,L96/F96))</f>
        <v>0.0510105871029836</v>
      </c>
      <c r="N96" s="5" t="str">
        <f aca="false">IF(A96="","",CHOOSE(WEEKDAY(A96,2),"月","火","水","木","金","土","日"))</f>
        <v>木</v>
      </c>
      <c r="O96" s="5" t="str">
        <f aca="false">IF(B96="","",IF(HOUR(B96)&lt;6,"深夜(0-5時)",IF(HOUR(B96)&lt;11,"朝(6-10時)",IF(HOUR(B96)&lt;15,"昼(11-14時)",IF(HOUR(B96)&lt;19,"夕方(15-18時)","夜(19-23時)")))))</f>
        <v>夜(19-23時)</v>
      </c>
      <c r="P96" s="32" t="n">
        <f aca="false">IF(M96="","",M96+ROW()/1000000000)</f>
        <v>0.0510106831029836</v>
      </c>
    </row>
    <row r="97" customFormat="false" ht="15" hidden="false" customHeight="false" outlineLevel="0" collapsed="false">
      <c r="A97" s="25" t="n">
        <v>46262</v>
      </c>
      <c r="B97" s="26" t="n">
        <v>0.0625</v>
      </c>
      <c r="C97" s="27" t="s">
        <v>30</v>
      </c>
      <c r="D97" s="28" t="s">
        <v>55</v>
      </c>
      <c r="E97" s="28" t="s">
        <v>85</v>
      </c>
      <c r="F97" s="29" t="n">
        <v>4458</v>
      </c>
      <c r="G97" s="29" t="n">
        <v>72</v>
      </c>
      <c r="H97" s="29" t="n">
        <v>16</v>
      </c>
      <c r="I97" s="29" t="n">
        <v>10</v>
      </c>
      <c r="J97" s="29" t="n">
        <v>4</v>
      </c>
      <c r="K97" s="29" t="n">
        <v>5</v>
      </c>
      <c r="L97" s="30" t="n">
        <f aca="false">IF(A97="","",SUM(G97:K97))</f>
        <v>107</v>
      </c>
      <c r="M97" s="31" t="n">
        <f aca="false">IF(A97="","",IF(F97=0,0,L97/F97))</f>
        <v>0.0240017945266936</v>
      </c>
      <c r="N97" s="5" t="str">
        <f aca="false">IF(A97="","",CHOOSE(WEEKDAY(A97,2),"月","火","水","木","金","土","日"))</f>
        <v>金</v>
      </c>
      <c r="O97" s="5" t="str">
        <f aca="false">IF(B97="","",IF(HOUR(B97)&lt;6,"深夜(0-5時)",IF(HOUR(B97)&lt;11,"朝(6-10時)",IF(HOUR(B97)&lt;15,"昼(11-14時)",IF(HOUR(B97)&lt;19,"夕方(15-18時)","夜(19-23時)")))))</f>
        <v>深夜(0-5時)</v>
      </c>
      <c r="P97" s="32" t="n">
        <f aca="false">IF(M97="","",M97+ROW()/1000000000)</f>
        <v>0.0240018915266936</v>
      </c>
    </row>
    <row r="98" customFormat="false" ht="15" hidden="false" customHeight="false" outlineLevel="0" collapsed="false">
      <c r="A98" s="25" t="n">
        <v>46262</v>
      </c>
      <c r="B98" s="26" t="n">
        <v>0.0729166666666667</v>
      </c>
      <c r="C98" s="27" t="s">
        <v>36</v>
      </c>
      <c r="D98" s="28" t="s">
        <v>31</v>
      </c>
      <c r="E98" s="28" t="s">
        <v>32</v>
      </c>
      <c r="F98" s="29" t="n">
        <v>1997</v>
      </c>
      <c r="G98" s="29" t="n">
        <v>27</v>
      </c>
      <c r="H98" s="29" t="n">
        <v>3</v>
      </c>
      <c r="I98" s="29" t="n">
        <v>9</v>
      </c>
      <c r="J98" s="29" t="n">
        <v>1</v>
      </c>
      <c r="K98" s="29" t="n">
        <v>0</v>
      </c>
      <c r="L98" s="30" t="n">
        <f aca="false">IF(A98="","",SUM(G98:K98))</f>
        <v>40</v>
      </c>
      <c r="M98" s="31" t="n">
        <f aca="false">IF(A98="","",IF(F98=0,0,L98/F98))</f>
        <v>0.0200300450676014</v>
      </c>
      <c r="N98" s="5" t="str">
        <f aca="false">IF(A98="","",CHOOSE(WEEKDAY(A98,2),"月","火","水","木","金","土","日"))</f>
        <v>金</v>
      </c>
      <c r="O98" s="5" t="str">
        <f aca="false">IF(B98="","",IF(HOUR(B98)&lt;6,"深夜(0-5時)",IF(HOUR(B98)&lt;11,"朝(6-10時)",IF(HOUR(B98)&lt;15,"昼(11-14時)",IF(HOUR(B98)&lt;19,"夕方(15-18時)","夜(19-23時)")))))</f>
        <v>深夜(0-5時)</v>
      </c>
      <c r="P98" s="32" t="n">
        <f aca="false">IF(M98="","",M98+ROW()/1000000000)</f>
        <v>0.0200301430676014</v>
      </c>
    </row>
    <row r="99" customFormat="false" ht="15" hidden="false" customHeight="false" outlineLevel="0" collapsed="false">
      <c r="A99" s="25" t="n">
        <v>46263</v>
      </c>
      <c r="B99" s="26" t="n">
        <v>0.927083333333333</v>
      </c>
      <c r="C99" s="27" t="s">
        <v>30</v>
      </c>
      <c r="D99" s="28" t="s">
        <v>54</v>
      </c>
      <c r="E99" s="28" t="s">
        <v>81</v>
      </c>
      <c r="F99" s="29" t="n">
        <v>2161</v>
      </c>
      <c r="G99" s="29" t="n">
        <v>31</v>
      </c>
      <c r="H99" s="29" t="n">
        <v>7</v>
      </c>
      <c r="I99" s="29" t="n">
        <v>4</v>
      </c>
      <c r="J99" s="29" t="n">
        <v>2</v>
      </c>
      <c r="K99" s="29" t="n">
        <v>2</v>
      </c>
      <c r="L99" s="30" t="n">
        <f aca="false">IF(A99="","",SUM(G99:K99))</f>
        <v>46</v>
      </c>
      <c r="M99" s="31" t="n">
        <f aca="false">IF(A99="","",IF(F99=0,0,L99/F99))</f>
        <v>0.021286441462286</v>
      </c>
      <c r="N99" s="5" t="str">
        <f aca="false">IF(A99="","",CHOOSE(WEEKDAY(A99,2),"月","火","水","木","金","土","日"))</f>
        <v>土</v>
      </c>
      <c r="O99" s="5" t="str">
        <f aca="false">IF(B99="","",IF(HOUR(B99)&lt;6,"深夜(0-5時)",IF(HOUR(B99)&lt;11,"朝(6-10時)",IF(HOUR(B99)&lt;15,"昼(11-14時)",IF(HOUR(B99)&lt;19,"夕方(15-18時)","夜(19-23時)")))))</f>
        <v>夜(19-23時)</v>
      </c>
      <c r="P99" s="32" t="n">
        <f aca="false">IF(M99="","",M99+ROW()/1000000000)</f>
        <v>0.021286540462286</v>
      </c>
    </row>
    <row r="100" customFormat="false" ht="15" hidden="false" customHeight="false" outlineLevel="0" collapsed="false">
      <c r="A100" s="25" t="n">
        <v>46263</v>
      </c>
      <c r="B100" s="26" t="n">
        <v>0.5</v>
      </c>
      <c r="C100" s="27" t="s">
        <v>36</v>
      </c>
      <c r="D100" s="28" t="s">
        <v>31</v>
      </c>
      <c r="E100" s="28" t="s">
        <v>32</v>
      </c>
      <c r="F100" s="29" t="n">
        <v>1803</v>
      </c>
      <c r="G100" s="29" t="n">
        <v>39</v>
      </c>
      <c r="H100" s="29" t="n">
        <v>5</v>
      </c>
      <c r="I100" s="29" t="n">
        <v>13</v>
      </c>
      <c r="J100" s="29" t="n">
        <v>2</v>
      </c>
      <c r="K100" s="29" t="n">
        <v>0</v>
      </c>
      <c r="L100" s="30" t="n">
        <f aca="false">IF(A100="","",SUM(G100:K100))</f>
        <v>59</v>
      </c>
      <c r="M100" s="31" t="n">
        <f aca="false">IF(A100="","",IF(F100=0,0,L100/F100))</f>
        <v>0.0327232390460344</v>
      </c>
      <c r="N100" s="5" t="str">
        <f aca="false">IF(A100="","",CHOOSE(WEEKDAY(A100,2),"月","火","水","木","金","土","日"))</f>
        <v>土</v>
      </c>
      <c r="O100" s="5" t="str">
        <f aca="false">IF(B100="","",IF(HOUR(B100)&lt;6,"深夜(0-5時)",IF(HOUR(B100)&lt;11,"朝(6-10時)",IF(HOUR(B100)&lt;15,"昼(11-14時)",IF(HOUR(B100)&lt;19,"夕方(15-18時)","夜(19-23時)")))))</f>
        <v>昼(11-14時)</v>
      </c>
      <c r="P100" s="32" t="n">
        <f aca="false">IF(M100="","",M100+ROW()/1000000000)</f>
        <v>0.0327233390460344</v>
      </c>
    </row>
    <row r="101" customFormat="false" ht="15" hidden="false" customHeight="false" outlineLevel="0" collapsed="false">
      <c r="A101" s="25" t="n">
        <v>46264</v>
      </c>
      <c r="B101" s="26" t="n">
        <v>0.5</v>
      </c>
      <c r="C101" s="27" t="s">
        <v>30</v>
      </c>
      <c r="D101" s="28" t="s">
        <v>55</v>
      </c>
      <c r="E101" s="28" t="s">
        <v>78</v>
      </c>
      <c r="F101" s="29" t="n">
        <v>2947</v>
      </c>
      <c r="G101" s="29" t="n">
        <v>72</v>
      </c>
      <c r="H101" s="29" t="n">
        <v>16</v>
      </c>
      <c r="I101" s="29" t="n">
        <v>10</v>
      </c>
      <c r="J101" s="29" t="n">
        <v>4</v>
      </c>
      <c r="K101" s="29" t="n">
        <v>5</v>
      </c>
      <c r="L101" s="30" t="n">
        <f aca="false">IF(A101="","",SUM(G101:K101))</f>
        <v>107</v>
      </c>
      <c r="M101" s="31" t="n">
        <f aca="false">IF(A101="","",IF(F101=0,0,L101/F101))</f>
        <v>0.0363081099423142</v>
      </c>
      <c r="N101" s="5" t="str">
        <f aca="false">IF(A101="","",CHOOSE(WEEKDAY(A101,2),"月","火","水","木","金","土","日"))</f>
        <v>日</v>
      </c>
      <c r="O101" s="5" t="str">
        <f aca="false">IF(B101="","",IF(HOUR(B101)&lt;6,"深夜(0-5時)",IF(HOUR(B101)&lt;11,"朝(6-10時)",IF(HOUR(B101)&lt;15,"昼(11-14時)",IF(HOUR(B101)&lt;19,"夕方(15-18時)","夜(19-23時)")))))</f>
        <v>昼(11-14時)</v>
      </c>
      <c r="P101" s="32" t="n">
        <f aca="false">IF(M101="","",M101+ROW()/1000000000)</f>
        <v>0.0363082109423142</v>
      </c>
    </row>
    <row r="102" customFormat="false" ht="15" hidden="false" customHeight="false" outlineLevel="0" collapsed="false">
      <c r="A102" s="25" t="n">
        <v>46264</v>
      </c>
      <c r="B102" s="26" t="n">
        <v>0.552083333333333</v>
      </c>
      <c r="C102" s="27" t="s">
        <v>36</v>
      </c>
      <c r="D102" s="28" t="s">
        <v>54</v>
      </c>
      <c r="E102" s="28" t="s">
        <v>82</v>
      </c>
      <c r="F102" s="29" t="n">
        <v>1911</v>
      </c>
      <c r="G102" s="29" t="n">
        <v>99</v>
      </c>
      <c r="H102" s="29" t="n">
        <v>12</v>
      </c>
      <c r="I102" s="29" t="n">
        <v>35</v>
      </c>
      <c r="J102" s="29" t="n">
        <v>6</v>
      </c>
      <c r="K102" s="29" t="n">
        <v>0</v>
      </c>
      <c r="L102" s="30" t="n">
        <f aca="false">IF(A102="","",SUM(G102:K102))</f>
        <v>152</v>
      </c>
      <c r="M102" s="31" t="n">
        <f aca="false">IF(A102="","",IF(F102=0,0,L102/F102))</f>
        <v>0.0795395081109367</v>
      </c>
      <c r="N102" s="5" t="str">
        <f aca="false">IF(A102="","",CHOOSE(WEEKDAY(A102,2),"月","火","水","木","金","土","日"))</f>
        <v>日</v>
      </c>
      <c r="O102" s="5" t="str">
        <f aca="false">IF(B102="","",IF(HOUR(B102)&lt;6,"深夜(0-5時)",IF(HOUR(B102)&lt;11,"朝(6-10時)",IF(HOUR(B102)&lt;15,"昼(11-14時)",IF(HOUR(B102)&lt;19,"夕方(15-18時)","夜(19-23時)")))))</f>
        <v>昼(11-14時)</v>
      </c>
      <c r="P102" s="32" t="n">
        <f aca="false">IF(M102="","",M102+ROW()/1000000000)</f>
        <v>0.0795396101109367</v>
      </c>
    </row>
    <row r="103" customFormat="false" ht="15" hidden="false" customHeight="false" outlineLevel="0" collapsed="false">
      <c r="A103" s="25" t="n">
        <v>46265</v>
      </c>
      <c r="B103" s="26" t="n">
        <v>0.541666666666667</v>
      </c>
      <c r="C103" s="27" t="s">
        <v>30</v>
      </c>
      <c r="D103" s="28" t="s">
        <v>31</v>
      </c>
      <c r="E103" s="28" t="s">
        <v>32</v>
      </c>
      <c r="F103" s="29" t="n">
        <v>4474</v>
      </c>
      <c r="G103" s="29" t="n">
        <v>62</v>
      </c>
      <c r="H103" s="29" t="n">
        <v>14</v>
      </c>
      <c r="I103" s="29" t="n">
        <v>9</v>
      </c>
      <c r="J103" s="29" t="n">
        <v>4</v>
      </c>
      <c r="K103" s="29" t="n">
        <v>5</v>
      </c>
      <c r="L103" s="30" t="n">
        <f aca="false">IF(A103="","",SUM(G103:K103))</f>
        <v>94</v>
      </c>
      <c r="M103" s="31" t="n">
        <f aca="false">IF(A103="","",IF(F103=0,0,L103/F103))</f>
        <v>0.0210102816271793</v>
      </c>
      <c r="N103" s="5" t="str">
        <f aca="false">IF(A103="","",CHOOSE(WEEKDAY(A103,2),"月","火","水","木","金","土","日"))</f>
        <v>月</v>
      </c>
      <c r="O103" s="5" t="str">
        <f aca="false">IF(B103="","",IF(HOUR(B103)&lt;6,"深夜(0-5時)",IF(HOUR(B103)&lt;11,"朝(6-10時)",IF(HOUR(B103)&lt;15,"昼(11-14時)",IF(HOUR(B103)&lt;19,"夕方(15-18時)","夜(19-23時)")))))</f>
        <v>昼(11-14時)</v>
      </c>
      <c r="P103" s="32" t="n">
        <f aca="false">IF(M103="","",M103+ROW()/1000000000)</f>
        <v>0.0210103846271793</v>
      </c>
    </row>
    <row r="104" customFormat="false" ht="15" hidden="false" customHeight="false" outlineLevel="0" collapsed="false">
      <c r="A104" s="25" t="n">
        <v>46265</v>
      </c>
      <c r="B104" s="26" t="n">
        <v>0.9375</v>
      </c>
      <c r="C104" s="27" t="s">
        <v>36</v>
      </c>
      <c r="D104" s="28" t="s">
        <v>55</v>
      </c>
      <c r="E104" s="28" t="s">
        <v>82</v>
      </c>
      <c r="F104" s="29" t="n">
        <v>1060</v>
      </c>
      <c r="G104" s="29" t="n">
        <v>27</v>
      </c>
      <c r="H104" s="29" t="n">
        <v>3</v>
      </c>
      <c r="I104" s="29" t="n">
        <v>9</v>
      </c>
      <c r="J104" s="29" t="n">
        <v>1</v>
      </c>
      <c r="K104" s="29" t="n">
        <v>0</v>
      </c>
      <c r="L104" s="30" t="n">
        <f aca="false">IF(A104="","",SUM(G104:K104))</f>
        <v>40</v>
      </c>
      <c r="M104" s="31" t="n">
        <f aca="false">IF(A104="","",IF(F104=0,0,L104/F104))</f>
        <v>0.0377358490566038</v>
      </c>
      <c r="N104" s="5" t="str">
        <f aca="false">IF(A104="","",CHOOSE(WEEKDAY(A104,2),"月","火","水","木","金","土","日"))</f>
        <v>月</v>
      </c>
      <c r="O104" s="5" t="str">
        <f aca="false">IF(B104="","",IF(HOUR(B104)&lt;6,"深夜(0-5時)",IF(HOUR(B104)&lt;11,"朝(6-10時)",IF(HOUR(B104)&lt;15,"昼(11-14時)",IF(HOUR(B104)&lt;19,"夕方(15-18時)","夜(19-23時)")))))</f>
        <v>夜(19-23時)</v>
      </c>
      <c r="P104" s="32" t="n">
        <f aca="false">IF(M104="","",M104+ROW()/1000000000)</f>
        <v>0.0377359530566038</v>
      </c>
    </row>
    <row r="105" customFormat="false" ht="15" hidden="false" customHeight="false" outlineLevel="0" collapsed="false">
      <c r="A105" s="25"/>
      <c r="B105" s="26"/>
      <c r="C105" s="27"/>
      <c r="D105" s="28"/>
      <c r="E105" s="28"/>
      <c r="F105" s="29"/>
      <c r="G105" s="29"/>
      <c r="H105" s="29"/>
      <c r="I105" s="29"/>
      <c r="J105" s="29"/>
      <c r="K105" s="29"/>
      <c r="L105" s="30" t="str">
        <f aca="false">IF(A105="","",SUM(G105:K105))</f>
        <v/>
      </c>
      <c r="M105" s="31" t="str">
        <f aca="false">IF(A105="","",IF(F105=0,0,L105/F105))</f>
        <v/>
      </c>
      <c r="N105" s="5" t="str">
        <f aca="false">IF(A105="","",CHOOSE(WEEKDAY(A105,2),"月","火","水","木","金","土","日"))</f>
        <v/>
      </c>
      <c r="O105" s="5" t="str">
        <f aca="false">IF(B105="","",IF(HOUR(B105)&lt;6,"深夜(0-5時)",IF(HOUR(B105)&lt;11,"朝(6-10時)",IF(HOUR(B105)&lt;15,"昼(11-14時)",IF(HOUR(B105)&lt;19,"夕方(15-18時)","夜(19-23時)")))))</f>
        <v/>
      </c>
      <c r="P105" s="32" t="str">
        <f aca="false">IF(M105="","",M105+ROW()/1000000000)</f>
        <v/>
      </c>
    </row>
    <row r="106" customFormat="false" ht="15" hidden="false" customHeight="false" outlineLevel="0" collapsed="false">
      <c r="A106" s="25"/>
      <c r="B106" s="26"/>
      <c r="C106" s="27"/>
      <c r="D106" s="28"/>
      <c r="E106" s="28"/>
      <c r="F106" s="29"/>
      <c r="G106" s="29"/>
      <c r="H106" s="29"/>
      <c r="I106" s="29"/>
      <c r="J106" s="29"/>
      <c r="K106" s="29"/>
      <c r="L106" s="30" t="str">
        <f aca="false">IF(A106="","",SUM(G106:K106))</f>
        <v/>
      </c>
      <c r="M106" s="31" t="str">
        <f aca="false">IF(A106="","",IF(F106=0,0,L106/F106))</f>
        <v/>
      </c>
      <c r="N106" s="5" t="str">
        <f aca="false">IF(A106="","",CHOOSE(WEEKDAY(A106,2),"月","火","水","木","金","土","日"))</f>
        <v/>
      </c>
      <c r="O106" s="5" t="str">
        <f aca="false">IF(B106="","",IF(HOUR(B106)&lt;6,"深夜(0-5時)",IF(HOUR(B106)&lt;11,"朝(6-10時)",IF(HOUR(B106)&lt;15,"昼(11-14時)",IF(HOUR(B106)&lt;19,"夕方(15-18時)","夜(19-23時)")))))</f>
        <v/>
      </c>
      <c r="P106" s="32" t="str">
        <f aca="false">IF(M106="","",M106+ROW()/1000000000)</f>
        <v/>
      </c>
    </row>
    <row r="107" customFormat="false" ht="15" hidden="false" customHeight="false" outlineLevel="0" collapsed="false">
      <c r="A107" s="25"/>
      <c r="B107" s="26"/>
      <c r="C107" s="27"/>
      <c r="D107" s="28"/>
      <c r="E107" s="28"/>
      <c r="F107" s="29"/>
      <c r="G107" s="29"/>
      <c r="H107" s="29"/>
      <c r="I107" s="29"/>
      <c r="J107" s="29"/>
      <c r="K107" s="29"/>
      <c r="L107" s="30" t="str">
        <f aca="false">IF(A107="","",SUM(G107:K107))</f>
        <v/>
      </c>
      <c r="M107" s="31" t="str">
        <f aca="false">IF(A107="","",IF(F107=0,0,L107/F107))</f>
        <v/>
      </c>
      <c r="N107" s="5" t="str">
        <f aca="false">IF(A107="","",CHOOSE(WEEKDAY(A107,2),"月","火","水","木","金","土","日"))</f>
        <v/>
      </c>
      <c r="O107" s="5" t="str">
        <f aca="false">IF(B107="","",IF(HOUR(B107)&lt;6,"深夜(0-5時)",IF(HOUR(B107)&lt;11,"朝(6-10時)",IF(HOUR(B107)&lt;15,"昼(11-14時)",IF(HOUR(B107)&lt;19,"夕方(15-18時)","夜(19-23時)")))))</f>
        <v/>
      </c>
      <c r="P107" s="32" t="str">
        <f aca="false">IF(M107="","",M107+ROW()/1000000000)</f>
        <v/>
      </c>
    </row>
    <row r="108" customFormat="false" ht="15" hidden="false" customHeight="false" outlineLevel="0" collapsed="false">
      <c r="A108" s="25"/>
      <c r="B108" s="26"/>
      <c r="C108" s="27"/>
      <c r="D108" s="28"/>
      <c r="E108" s="28"/>
      <c r="F108" s="29"/>
      <c r="G108" s="29"/>
      <c r="H108" s="29"/>
      <c r="I108" s="29"/>
      <c r="J108" s="29"/>
      <c r="K108" s="29"/>
      <c r="L108" s="30" t="str">
        <f aca="false">IF(A108="","",SUM(G108:K108))</f>
        <v/>
      </c>
      <c r="M108" s="31" t="str">
        <f aca="false">IF(A108="","",IF(F108=0,0,L108/F108))</f>
        <v/>
      </c>
      <c r="N108" s="5" t="str">
        <f aca="false">IF(A108="","",CHOOSE(WEEKDAY(A108,2),"月","火","水","木","金","土","日"))</f>
        <v/>
      </c>
      <c r="O108" s="5" t="str">
        <f aca="false">IF(B108="","",IF(HOUR(B108)&lt;6,"深夜(0-5時)",IF(HOUR(B108)&lt;11,"朝(6-10時)",IF(HOUR(B108)&lt;15,"昼(11-14時)",IF(HOUR(B108)&lt;19,"夕方(15-18時)","夜(19-23時)")))))</f>
        <v/>
      </c>
      <c r="P108" s="32" t="str">
        <f aca="false">IF(M108="","",M108+ROW()/1000000000)</f>
        <v/>
      </c>
    </row>
    <row r="109" customFormat="false" ht="15" hidden="false" customHeight="false" outlineLevel="0" collapsed="false">
      <c r="A109" s="25"/>
      <c r="B109" s="26"/>
      <c r="C109" s="27"/>
      <c r="D109" s="28"/>
      <c r="E109" s="28"/>
      <c r="F109" s="29"/>
      <c r="G109" s="29"/>
      <c r="H109" s="29"/>
      <c r="I109" s="29"/>
      <c r="J109" s="29"/>
      <c r="K109" s="29"/>
      <c r="L109" s="30" t="str">
        <f aca="false">IF(A109="","",SUM(G109:K109))</f>
        <v/>
      </c>
      <c r="M109" s="31" t="str">
        <f aca="false">IF(A109="","",IF(F109=0,0,L109/F109))</f>
        <v/>
      </c>
      <c r="N109" s="5" t="str">
        <f aca="false">IF(A109="","",CHOOSE(WEEKDAY(A109,2),"月","火","水","木","金","土","日"))</f>
        <v/>
      </c>
      <c r="O109" s="5" t="str">
        <f aca="false">IF(B109="","",IF(HOUR(B109)&lt;6,"深夜(0-5時)",IF(HOUR(B109)&lt;11,"朝(6-10時)",IF(HOUR(B109)&lt;15,"昼(11-14時)",IF(HOUR(B109)&lt;19,"夕方(15-18時)","夜(19-23時)")))))</f>
        <v/>
      </c>
      <c r="P109" s="32" t="str">
        <f aca="false">IF(M109="","",M109+ROW()/1000000000)</f>
        <v/>
      </c>
    </row>
    <row r="110" customFormat="false" ht="15" hidden="false" customHeight="false" outlineLevel="0" collapsed="false">
      <c r="A110" s="25"/>
      <c r="B110" s="26"/>
      <c r="C110" s="27"/>
      <c r="D110" s="28"/>
      <c r="E110" s="28"/>
      <c r="F110" s="29"/>
      <c r="G110" s="29"/>
      <c r="H110" s="29"/>
      <c r="I110" s="29"/>
      <c r="J110" s="29"/>
      <c r="K110" s="29"/>
      <c r="L110" s="30" t="str">
        <f aca="false">IF(A110="","",SUM(G110:K110))</f>
        <v/>
      </c>
      <c r="M110" s="31" t="str">
        <f aca="false">IF(A110="","",IF(F110=0,0,L110/F110))</f>
        <v/>
      </c>
      <c r="N110" s="5" t="str">
        <f aca="false">IF(A110="","",CHOOSE(WEEKDAY(A110,2),"月","火","水","木","金","土","日"))</f>
        <v/>
      </c>
      <c r="O110" s="5" t="str">
        <f aca="false">IF(B110="","",IF(HOUR(B110)&lt;6,"深夜(0-5時)",IF(HOUR(B110)&lt;11,"朝(6-10時)",IF(HOUR(B110)&lt;15,"昼(11-14時)",IF(HOUR(B110)&lt;19,"夕方(15-18時)","夜(19-23時)")))))</f>
        <v/>
      </c>
      <c r="P110" s="32" t="str">
        <f aca="false">IF(M110="","",M110+ROW()/1000000000)</f>
        <v/>
      </c>
    </row>
    <row r="111" customFormat="false" ht="15" hidden="false" customHeight="false" outlineLevel="0" collapsed="false">
      <c r="A111" s="25"/>
      <c r="B111" s="26"/>
      <c r="C111" s="27"/>
      <c r="D111" s="28"/>
      <c r="E111" s="28"/>
      <c r="F111" s="29"/>
      <c r="G111" s="29"/>
      <c r="H111" s="29"/>
      <c r="I111" s="29"/>
      <c r="J111" s="29"/>
      <c r="K111" s="29"/>
      <c r="L111" s="30" t="str">
        <f aca="false">IF(A111="","",SUM(G111:K111))</f>
        <v/>
      </c>
      <c r="M111" s="31" t="str">
        <f aca="false">IF(A111="","",IF(F111=0,0,L111/F111))</f>
        <v/>
      </c>
      <c r="N111" s="5" t="str">
        <f aca="false">IF(A111="","",CHOOSE(WEEKDAY(A111,2),"月","火","水","木","金","土","日"))</f>
        <v/>
      </c>
      <c r="O111" s="5" t="str">
        <f aca="false">IF(B111="","",IF(HOUR(B111)&lt;6,"深夜(0-5時)",IF(HOUR(B111)&lt;11,"朝(6-10時)",IF(HOUR(B111)&lt;15,"昼(11-14時)",IF(HOUR(B111)&lt;19,"夕方(15-18時)","夜(19-23時)")))))</f>
        <v/>
      </c>
      <c r="P111" s="32" t="str">
        <f aca="false">IF(M111="","",M111+ROW()/1000000000)</f>
        <v/>
      </c>
    </row>
    <row r="112" customFormat="false" ht="15" hidden="false" customHeight="false" outlineLevel="0" collapsed="false">
      <c r="A112" s="25"/>
      <c r="B112" s="26"/>
      <c r="C112" s="27"/>
      <c r="D112" s="28"/>
      <c r="E112" s="28"/>
      <c r="F112" s="29"/>
      <c r="G112" s="29"/>
      <c r="H112" s="29"/>
      <c r="I112" s="29"/>
      <c r="J112" s="29"/>
      <c r="K112" s="29"/>
      <c r="L112" s="30" t="str">
        <f aca="false">IF(A112="","",SUM(G112:K112))</f>
        <v/>
      </c>
      <c r="M112" s="31" t="str">
        <f aca="false">IF(A112="","",IF(F112=0,0,L112/F112))</f>
        <v/>
      </c>
      <c r="N112" s="5" t="str">
        <f aca="false">IF(A112="","",CHOOSE(WEEKDAY(A112,2),"月","火","水","木","金","土","日"))</f>
        <v/>
      </c>
      <c r="O112" s="5" t="str">
        <f aca="false">IF(B112="","",IF(HOUR(B112)&lt;6,"深夜(0-5時)",IF(HOUR(B112)&lt;11,"朝(6-10時)",IF(HOUR(B112)&lt;15,"昼(11-14時)",IF(HOUR(B112)&lt;19,"夕方(15-18時)","夜(19-23時)")))))</f>
        <v/>
      </c>
      <c r="P112" s="32" t="str">
        <f aca="false">IF(M112="","",M112+ROW()/1000000000)</f>
        <v/>
      </c>
    </row>
    <row r="113" customFormat="false" ht="15" hidden="false" customHeight="false" outlineLevel="0" collapsed="false">
      <c r="A113" s="25"/>
      <c r="B113" s="26"/>
      <c r="C113" s="27"/>
      <c r="D113" s="28"/>
      <c r="E113" s="28"/>
      <c r="F113" s="29"/>
      <c r="G113" s="29"/>
      <c r="H113" s="29"/>
      <c r="I113" s="29"/>
      <c r="J113" s="29"/>
      <c r="K113" s="29"/>
      <c r="L113" s="30" t="str">
        <f aca="false">IF(A113="","",SUM(G113:K113))</f>
        <v/>
      </c>
      <c r="M113" s="31" t="str">
        <f aca="false">IF(A113="","",IF(F113=0,0,L113/F113))</f>
        <v/>
      </c>
      <c r="N113" s="5" t="str">
        <f aca="false">IF(A113="","",CHOOSE(WEEKDAY(A113,2),"月","火","水","木","金","土","日"))</f>
        <v/>
      </c>
      <c r="O113" s="5" t="str">
        <f aca="false">IF(B113="","",IF(HOUR(B113)&lt;6,"深夜(0-5時)",IF(HOUR(B113)&lt;11,"朝(6-10時)",IF(HOUR(B113)&lt;15,"昼(11-14時)",IF(HOUR(B113)&lt;19,"夕方(15-18時)","夜(19-23時)")))))</f>
        <v/>
      </c>
      <c r="P113" s="32" t="str">
        <f aca="false">IF(M113="","",M113+ROW()/1000000000)</f>
        <v/>
      </c>
    </row>
    <row r="114" customFormat="false" ht="15" hidden="false" customHeight="false" outlineLevel="0" collapsed="false">
      <c r="A114" s="25"/>
      <c r="B114" s="26"/>
      <c r="C114" s="27"/>
      <c r="D114" s="28"/>
      <c r="E114" s="28"/>
      <c r="F114" s="29"/>
      <c r="G114" s="29"/>
      <c r="H114" s="29"/>
      <c r="I114" s="29"/>
      <c r="J114" s="29"/>
      <c r="K114" s="29"/>
      <c r="L114" s="30" t="str">
        <f aca="false">IF(A114="","",SUM(G114:K114))</f>
        <v/>
      </c>
      <c r="M114" s="31" t="str">
        <f aca="false">IF(A114="","",IF(F114=0,0,L114/F114))</f>
        <v/>
      </c>
      <c r="N114" s="5" t="str">
        <f aca="false">IF(A114="","",CHOOSE(WEEKDAY(A114,2),"月","火","水","木","金","土","日"))</f>
        <v/>
      </c>
      <c r="O114" s="5" t="str">
        <f aca="false">IF(B114="","",IF(HOUR(B114)&lt;6,"深夜(0-5時)",IF(HOUR(B114)&lt;11,"朝(6-10時)",IF(HOUR(B114)&lt;15,"昼(11-14時)",IF(HOUR(B114)&lt;19,"夕方(15-18時)","夜(19-23時)")))))</f>
        <v/>
      </c>
      <c r="P114" s="32" t="str">
        <f aca="false">IF(M114="","",M114+ROW()/1000000000)</f>
        <v/>
      </c>
    </row>
    <row r="115" customFormat="false" ht="15" hidden="false" customHeight="false" outlineLevel="0" collapsed="false">
      <c r="A115" s="25"/>
      <c r="B115" s="26"/>
      <c r="C115" s="27"/>
      <c r="D115" s="28"/>
      <c r="E115" s="28"/>
      <c r="F115" s="29"/>
      <c r="G115" s="29"/>
      <c r="H115" s="29"/>
      <c r="I115" s="29"/>
      <c r="J115" s="29"/>
      <c r="K115" s="29"/>
      <c r="L115" s="30" t="str">
        <f aca="false">IF(A115="","",SUM(G115:K115))</f>
        <v/>
      </c>
      <c r="M115" s="31" t="str">
        <f aca="false">IF(A115="","",IF(F115=0,0,L115/F115))</f>
        <v/>
      </c>
      <c r="N115" s="5" t="str">
        <f aca="false">IF(A115="","",CHOOSE(WEEKDAY(A115,2),"月","火","水","木","金","土","日"))</f>
        <v/>
      </c>
      <c r="O115" s="5" t="str">
        <f aca="false">IF(B115="","",IF(HOUR(B115)&lt;6,"深夜(0-5時)",IF(HOUR(B115)&lt;11,"朝(6-10時)",IF(HOUR(B115)&lt;15,"昼(11-14時)",IF(HOUR(B115)&lt;19,"夕方(15-18時)","夜(19-23時)")))))</f>
        <v/>
      </c>
      <c r="P115" s="32" t="str">
        <f aca="false">IF(M115="","",M115+ROW()/1000000000)</f>
        <v/>
      </c>
    </row>
    <row r="116" customFormat="false" ht="15" hidden="false" customHeight="false" outlineLevel="0" collapsed="false">
      <c r="A116" s="25"/>
      <c r="B116" s="26"/>
      <c r="C116" s="27"/>
      <c r="D116" s="28"/>
      <c r="E116" s="28"/>
      <c r="F116" s="29"/>
      <c r="G116" s="29"/>
      <c r="H116" s="29"/>
      <c r="I116" s="29"/>
      <c r="J116" s="29"/>
      <c r="K116" s="29"/>
      <c r="L116" s="30" t="str">
        <f aca="false">IF(A116="","",SUM(G116:K116))</f>
        <v/>
      </c>
      <c r="M116" s="31" t="str">
        <f aca="false">IF(A116="","",IF(F116=0,0,L116/F116))</f>
        <v/>
      </c>
      <c r="N116" s="5" t="str">
        <f aca="false">IF(A116="","",CHOOSE(WEEKDAY(A116,2),"月","火","水","木","金","土","日"))</f>
        <v/>
      </c>
      <c r="O116" s="5" t="str">
        <f aca="false">IF(B116="","",IF(HOUR(B116)&lt;6,"深夜(0-5時)",IF(HOUR(B116)&lt;11,"朝(6-10時)",IF(HOUR(B116)&lt;15,"昼(11-14時)",IF(HOUR(B116)&lt;19,"夕方(15-18時)","夜(19-23時)")))))</f>
        <v/>
      </c>
      <c r="P116" s="32" t="str">
        <f aca="false">IF(M116="","",M116+ROW()/1000000000)</f>
        <v/>
      </c>
    </row>
    <row r="117" customFormat="false" ht="15" hidden="false" customHeight="false" outlineLevel="0" collapsed="false">
      <c r="A117" s="25"/>
      <c r="B117" s="26"/>
      <c r="C117" s="27"/>
      <c r="D117" s="28"/>
      <c r="E117" s="28"/>
      <c r="F117" s="29"/>
      <c r="G117" s="29"/>
      <c r="H117" s="29"/>
      <c r="I117" s="29"/>
      <c r="J117" s="29"/>
      <c r="K117" s="29"/>
      <c r="L117" s="30" t="str">
        <f aca="false">IF(A117="","",SUM(G117:K117))</f>
        <v/>
      </c>
      <c r="M117" s="31" t="str">
        <f aca="false">IF(A117="","",IF(F117=0,0,L117/F117))</f>
        <v/>
      </c>
      <c r="N117" s="5" t="str">
        <f aca="false">IF(A117="","",CHOOSE(WEEKDAY(A117,2),"月","火","水","木","金","土","日"))</f>
        <v/>
      </c>
      <c r="O117" s="5" t="str">
        <f aca="false">IF(B117="","",IF(HOUR(B117)&lt;6,"深夜(0-5時)",IF(HOUR(B117)&lt;11,"朝(6-10時)",IF(HOUR(B117)&lt;15,"昼(11-14時)",IF(HOUR(B117)&lt;19,"夕方(15-18時)","夜(19-23時)")))))</f>
        <v/>
      </c>
      <c r="P117" s="32" t="str">
        <f aca="false">IF(M117="","",M117+ROW()/1000000000)</f>
        <v/>
      </c>
    </row>
    <row r="118" customFormat="false" ht="15" hidden="false" customHeight="false" outlineLevel="0" collapsed="false">
      <c r="A118" s="25"/>
      <c r="B118" s="26"/>
      <c r="C118" s="27"/>
      <c r="D118" s="28"/>
      <c r="E118" s="28"/>
      <c r="F118" s="29"/>
      <c r="G118" s="29"/>
      <c r="H118" s="29"/>
      <c r="I118" s="29"/>
      <c r="J118" s="29"/>
      <c r="K118" s="29"/>
      <c r="L118" s="30" t="str">
        <f aca="false">IF(A118="","",SUM(G118:K118))</f>
        <v/>
      </c>
      <c r="M118" s="31" t="str">
        <f aca="false">IF(A118="","",IF(F118=0,0,L118/F118))</f>
        <v/>
      </c>
      <c r="N118" s="5" t="str">
        <f aca="false">IF(A118="","",CHOOSE(WEEKDAY(A118,2),"月","火","水","木","金","土","日"))</f>
        <v/>
      </c>
      <c r="O118" s="5" t="str">
        <f aca="false">IF(B118="","",IF(HOUR(B118)&lt;6,"深夜(0-5時)",IF(HOUR(B118)&lt;11,"朝(6-10時)",IF(HOUR(B118)&lt;15,"昼(11-14時)",IF(HOUR(B118)&lt;19,"夕方(15-18時)","夜(19-23時)")))))</f>
        <v/>
      </c>
      <c r="P118" s="32" t="str">
        <f aca="false">IF(M118="","",M118+ROW()/1000000000)</f>
        <v/>
      </c>
    </row>
    <row r="119" customFormat="false" ht="15" hidden="false" customHeight="false" outlineLevel="0" collapsed="false">
      <c r="A119" s="25"/>
      <c r="B119" s="26"/>
      <c r="C119" s="27"/>
      <c r="D119" s="28"/>
      <c r="E119" s="28"/>
      <c r="F119" s="29"/>
      <c r="G119" s="29"/>
      <c r="H119" s="29"/>
      <c r="I119" s="29"/>
      <c r="J119" s="29"/>
      <c r="K119" s="29"/>
      <c r="L119" s="30" t="str">
        <f aca="false">IF(A119="","",SUM(G119:K119))</f>
        <v/>
      </c>
      <c r="M119" s="31" t="str">
        <f aca="false">IF(A119="","",IF(F119=0,0,L119/F119))</f>
        <v/>
      </c>
      <c r="N119" s="5" t="str">
        <f aca="false">IF(A119="","",CHOOSE(WEEKDAY(A119,2),"月","火","水","木","金","土","日"))</f>
        <v/>
      </c>
      <c r="O119" s="5" t="str">
        <f aca="false">IF(B119="","",IF(HOUR(B119)&lt;6,"深夜(0-5時)",IF(HOUR(B119)&lt;11,"朝(6-10時)",IF(HOUR(B119)&lt;15,"昼(11-14時)",IF(HOUR(B119)&lt;19,"夕方(15-18時)","夜(19-23時)")))))</f>
        <v/>
      </c>
      <c r="P119" s="32" t="str">
        <f aca="false">IF(M119="","",M119+ROW()/1000000000)</f>
        <v/>
      </c>
    </row>
    <row r="120" customFormat="false" ht="15" hidden="false" customHeight="false" outlineLevel="0" collapsed="false">
      <c r="A120" s="25"/>
      <c r="B120" s="26"/>
      <c r="C120" s="27"/>
      <c r="D120" s="28"/>
      <c r="E120" s="28"/>
      <c r="F120" s="29"/>
      <c r="G120" s="29"/>
      <c r="H120" s="29"/>
      <c r="I120" s="29"/>
      <c r="J120" s="29"/>
      <c r="K120" s="29"/>
      <c r="L120" s="30" t="str">
        <f aca="false">IF(A120="","",SUM(G120:K120))</f>
        <v/>
      </c>
      <c r="M120" s="31" t="str">
        <f aca="false">IF(A120="","",IF(F120=0,0,L120/F120))</f>
        <v/>
      </c>
      <c r="N120" s="5" t="str">
        <f aca="false">IF(A120="","",CHOOSE(WEEKDAY(A120,2),"月","火","水","木","金","土","日"))</f>
        <v/>
      </c>
      <c r="O120" s="5" t="str">
        <f aca="false">IF(B120="","",IF(HOUR(B120)&lt;6,"深夜(0-5時)",IF(HOUR(B120)&lt;11,"朝(6-10時)",IF(HOUR(B120)&lt;15,"昼(11-14時)",IF(HOUR(B120)&lt;19,"夕方(15-18時)","夜(19-23時)")))))</f>
        <v/>
      </c>
      <c r="P120" s="32" t="str">
        <f aca="false">IF(M120="","",M120+ROW()/1000000000)</f>
        <v/>
      </c>
    </row>
    <row r="121" customFormat="false" ht="15" hidden="false" customHeight="false" outlineLevel="0" collapsed="false">
      <c r="A121" s="25"/>
      <c r="B121" s="26"/>
      <c r="C121" s="27"/>
      <c r="D121" s="28"/>
      <c r="E121" s="28"/>
      <c r="F121" s="29"/>
      <c r="G121" s="29"/>
      <c r="H121" s="29"/>
      <c r="I121" s="29"/>
      <c r="J121" s="29"/>
      <c r="K121" s="29"/>
      <c r="L121" s="30" t="str">
        <f aca="false">IF(A121="","",SUM(G121:K121))</f>
        <v/>
      </c>
      <c r="M121" s="31" t="str">
        <f aca="false">IF(A121="","",IF(F121=0,0,L121/F121))</f>
        <v/>
      </c>
      <c r="N121" s="5" t="str">
        <f aca="false">IF(A121="","",CHOOSE(WEEKDAY(A121,2),"月","火","水","木","金","土","日"))</f>
        <v/>
      </c>
      <c r="O121" s="5" t="str">
        <f aca="false">IF(B121="","",IF(HOUR(B121)&lt;6,"深夜(0-5時)",IF(HOUR(B121)&lt;11,"朝(6-10時)",IF(HOUR(B121)&lt;15,"昼(11-14時)",IF(HOUR(B121)&lt;19,"夕方(15-18時)","夜(19-23時)")))))</f>
        <v/>
      </c>
      <c r="P121" s="32" t="str">
        <f aca="false">IF(M121="","",M121+ROW()/1000000000)</f>
        <v/>
      </c>
    </row>
    <row r="122" customFormat="false" ht="15" hidden="false" customHeight="false" outlineLevel="0" collapsed="false">
      <c r="A122" s="25"/>
      <c r="B122" s="26"/>
      <c r="C122" s="27"/>
      <c r="D122" s="28"/>
      <c r="E122" s="28"/>
      <c r="F122" s="29"/>
      <c r="G122" s="29"/>
      <c r="H122" s="29"/>
      <c r="I122" s="29"/>
      <c r="J122" s="29"/>
      <c r="K122" s="29"/>
      <c r="L122" s="30" t="str">
        <f aca="false">IF(A122="","",SUM(G122:K122))</f>
        <v/>
      </c>
      <c r="M122" s="31" t="str">
        <f aca="false">IF(A122="","",IF(F122=0,0,L122/F122))</f>
        <v/>
      </c>
      <c r="N122" s="5" t="str">
        <f aca="false">IF(A122="","",CHOOSE(WEEKDAY(A122,2),"月","火","水","木","金","土","日"))</f>
        <v/>
      </c>
      <c r="O122" s="5" t="str">
        <f aca="false">IF(B122="","",IF(HOUR(B122)&lt;6,"深夜(0-5時)",IF(HOUR(B122)&lt;11,"朝(6-10時)",IF(HOUR(B122)&lt;15,"昼(11-14時)",IF(HOUR(B122)&lt;19,"夕方(15-18時)","夜(19-23時)")))))</f>
        <v/>
      </c>
      <c r="P122" s="32" t="str">
        <f aca="false">IF(M122="","",M122+ROW()/1000000000)</f>
        <v/>
      </c>
    </row>
    <row r="123" customFormat="false" ht="15" hidden="false" customHeight="false" outlineLevel="0" collapsed="false">
      <c r="A123" s="25"/>
      <c r="B123" s="26"/>
      <c r="C123" s="27"/>
      <c r="D123" s="28"/>
      <c r="E123" s="28"/>
      <c r="F123" s="29"/>
      <c r="G123" s="29"/>
      <c r="H123" s="29"/>
      <c r="I123" s="29"/>
      <c r="J123" s="29"/>
      <c r="K123" s="29"/>
      <c r="L123" s="30" t="str">
        <f aca="false">IF(A123="","",SUM(G123:K123))</f>
        <v/>
      </c>
      <c r="M123" s="31" t="str">
        <f aca="false">IF(A123="","",IF(F123=0,0,L123/F123))</f>
        <v/>
      </c>
      <c r="N123" s="5" t="str">
        <f aca="false">IF(A123="","",CHOOSE(WEEKDAY(A123,2),"月","火","水","木","金","土","日"))</f>
        <v/>
      </c>
      <c r="O123" s="5" t="str">
        <f aca="false">IF(B123="","",IF(HOUR(B123)&lt;6,"深夜(0-5時)",IF(HOUR(B123)&lt;11,"朝(6-10時)",IF(HOUR(B123)&lt;15,"昼(11-14時)",IF(HOUR(B123)&lt;19,"夕方(15-18時)","夜(19-23時)")))))</f>
        <v/>
      </c>
      <c r="P123" s="32" t="str">
        <f aca="false">IF(M123="","",M123+ROW()/1000000000)</f>
        <v/>
      </c>
    </row>
    <row r="124" customFormat="false" ht="15" hidden="false" customHeight="false" outlineLevel="0" collapsed="false">
      <c r="A124" s="25"/>
      <c r="B124" s="26"/>
      <c r="C124" s="27"/>
      <c r="D124" s="28"/>
      <c r="E124" s="28"/>
      <c r="F124" s="29"/>
      <c r="G124" s="29"/>
      <c r="H124" s="29"/>
      <c r="I124" s="29"/>
      <c r="J124" s="29"/>
      <c r="K124" s="29"/>
      <c r="L124" s="30" t="str">
        <f aca="false">IF(A124="","",SUM(G124:K124))</f>
        <v/>
      </c>
      <c r="M124" s="31" t="str">
        <f aca="false">IF(A124="","",IF(F124=0,0,L124/F124))</f>
        <v/>
      </c>
      <c r="N124" s="5" t="str">
        <f aca="false">IF(A124="","",CHOOSE(WEEKDAY(A124,2),"月","火","水","木","金","土","日"))</f>
        <v/>
      </c>
      <c r="O124" s="5" t="str">
        <f aca="false">IF(B124="","",IF(HOUR(B124)&lt;6,"深夜(0-5時)",IF(HOUR(B124)&lt;11,"朝(6-10時)",IF(HOUR(B124)&lt;15,"昼(11-14時)",IF(HOUR(B124)&lt;19,"夕方(15-18時)","夜(19-23時)")))))</f>
        <v/>
      </c>
      <c r="P124" s="32" t="str">
        <f aca="false">IF(M124="","",M124+ROW()/1000000000)</f>
        <v/>
      </c>
    </row>
    <row r="125" customFormat="false" ht="15" hidden="false" customHeight="false" outlineLevel="0" collapsed="false">
      <c r="A125" s="25"/>
      <c r="B125" s="26"/>
      <c r="C125" s="27"/>
      <c r="D125" s="28"/>
      <c r="E125" s="28"/>
      <c r="F125" s="29"/>
      <c r="G125" s="29"/>
      <c r="H125" s="29"/>
      <c r="I125" s="29"/>
      <c r="J125" s="29"/>
      <c r="K125" s="29"/>
      <c r="L125" s="30" t="str">
        <f aca="false">IF(A125="","",SUM(G125:K125))</f>
        <v/>
      </c>
      <c r="M125" s="31" t="str">
        <f aca="false">IF(A125="","",IF(F125=0,0,L125/F125))</f>
        <v/>
      </c>
      <c r="N125" s="5" t="str">
        <f aca="false">IF(A125="","",CHOOSE(WEEKDAY(A125,2),"月","火","水","木","金","土","日"))</f>
        <v/>
      </c>
      <c r="O125" s="5" t="str">
        <f aca="false">IF(B125="","",IF(HOUR(B125)&lt;6,"深夜(0-5時)",IF(HOUR(B125)&lt;11,"朝(6-10時)",IF(HOUR(B125)&lt;15,"昼(11-14時)",IF(HOUR(B125)&lt;19,"夕方(15-18時)","夜(19-23時)")))))</f>
        <v/>
      </c>
      <c r="P125" s="32" t="str">
        <f aca="false">IF(M125="","",M125+ROW()/1000000000)</f>
        <v/>
      </c>
    </row>
    <row r="126" customFormat="false" ht="15" hidden="false" customHeight="false" outlineLevel="0" collapsed="false">
      <c r="A126" s="25"/>
      <c r="B126" s="26"/>
      <c r="C126" s="27"/>
      <c r="D126" s="28"/>
      <c r="E126" s="28"/>
      <c r="F126" s="29"/>
      <c r="G126" s="29"/>
      <c r="H126" s="29"/>
      <c r="I126" s="29"/>
      <c r="J126" s="29"/>
      <c r="K126" s="29"/>
      <c r="L126" s="30" t="str">
        <f aca="false">IF(A126="","",SUM(G126:K126))</f>
        <v/>
      </c>
      <c r="M126" s="31" t="str">
        <f aca="false">IF(A126="","",IF(F126=0,0,L126/F126))</f>
        <v/>
      </c>
      <c r="N126" s="5" t="str">
        <f aca="false">IF(A126="","",CHOOSE(WEEKDAY(A126,2),"月","火","水","木","金","土","日"))</f>
        <v/>
      </c>
      <c r="O126" s="5" t="str">
        <f aca="false">IF(B126="","",IF(HOUR(B126)&lt;6,"深夜(0-5時)",IF(HOUR(B126)&lt;11,"朝(6-10時)",IF(HOUR(B126)&lt;15,"昼(11-14時)",IF(HOUR(B126)&lt;19,"夕方(15-18時)","夜(19-23時)")))))</f>
        <v/>
      </c>
      <c r="P126" s="32" t="str">
        <f aca="false">IF(M126="","",M126+ROW()/1000000000)</f>
        <v/>
      </c>
    </row>
    <row r="127" customFormat="false" ht="15" hidden="false" customHeight="false" outlineLevel="0" collapsed="false">
      <c r="A127" s="25"/>
      <c r="B127" s="26"/>
      <c r="C127" s="27"/>
      <c r="D127" s="28"/>
      <c r="E127" s="28"/>
      <c r="F127" s="29"/>
      <c r="G127" s="29"/>
      <c r="H127" s="29"/>
      <c r="I127" s="29"/>
      <c r="J127" s="29"/>
      <c r="K127" s="29"/>
      <c r="L127" s="30" t="str">
        <f aca="false">IF(A127="","",SUM(G127:K127))</f>
        <v/>
      </c>
      <c r="M127" s="31" t="str">
        <f aca="false">IF(A127="","",IF(F127=0,0,L127/F127))</f>
        <v/>
      </c>
      <c r="N127" s="5" t="str">
        <f aca="false">IF(A127="","",CHOOSE(WEEKDAY(A127,2),"月","火","水","木","金","土","日"))</f>
        <v/>
      </c>
      <c r="O127" s="5" t="str">
        <f aca="false">IF(B127="","",IF(HOUR(B127)&lt;6,"深夜(0-5時)",IF(HOUR(B127)&lt;11,"朝(6-10時)",IF(HOUR(B127)&lt;15,"昼(11-14時)",IF(HOUR(B127)&lt;19,"夕方(15-18時)","夜(19-23時)")))))</f>
        <v/>
      </c>
      <c r="P127" s="32" t="str">
        <f aca="false">IF(M127="","",M127+ROW()/1000000000)</f>
        <v/>
      </c>
    </row>
    <row r="128" customFormat="false" ht="15" hidden="false" customHeight="false" outlineLevel="0" collapsed="false">
      <c r="A128" s="25"/>
      <c r="B128" s="26"/>
      <c r="C128" s="27"/>
      <c r="D128" s="28"/>
      <c r="E128" s="28"/>
      <c r="F128" s="29"/>
      <c r="G128" s="29"/>
      <c r="H128" s="29"/>
      <c r="I128" s="29"/>
      <c r="J128" s="29"/>
      <c r="K128" s="29"/>
      <c r="L128" s="30" t="str">
        <f aca="false">IF(A128="","",SUM(G128:K128))</f>
        <v/>
      </c>
      <c r="M128" s="31" t="str">
        <f aca="false">IF(A128="","",IF(F128=0,0,L128/F128))</f>
        <v/>
      </c>
      <c r="N128" s="5" t="str">
        <f aca="false">IF(A128="","",CHOOSE(WEEKDAY(A128,2),"月","火","水","木","金","土","日"))</f>
        <v/>
      </c>
      <c r="O128" s="5" t="str">
        <f aca="false">IF(B128="","",IF(HOUR(B128)&lt;6,"深夜(0-5時)",IF(HOUR(B128)&lt;11,"朝(6-10時)",IF(HOUR(B128)&lt;15,"昼(11-14時)",IF(HOUR(B128)&lt;19,"夕方(15-18時)","夜(19-23時)")))))</f>
        <v/>
      </c>
      <c r="P128" s="32" t="str">
        <f aca="false">IF(M128="","",M128+ROW()/1000000000)</f>
        <v/>
      </c>
    </row>
    <row r="129" customFormat="false" ht="15" hidden="false" customHeight="false" outlineLevel="0" collapsed="false">
      <c r="A129" s="25"/>
      <c r="B129" s="26"/>
      <c r="C129" s="27"/>
      <c r="D129" s="28"/>
      <c r="E129" s="28"/>
      <c r="F129" s="29"/>
      <c r="G129" s="29"/>
      <c r="H129" s="29"/>
      <c r="I129" s="29"/>
      <c r="J129" s="29"/>
      <c r="K129" s="29"/>
      <c r="L129" s="30" t="str">
        <f aca="false">IF(A129="","",SUM(G129:K129))</f>
        <v/>
      </c>
      <c r="M129" s="31" t="str">
        <f aca="false">IF(A129="","",IF(F129=0,0,L129/F129))</f>
        <v/>
      </c>
      <c r="N129" s="5" t="str">
        <f aca="false">IF(A129="","",CHOOSE(WEEKDAY(A129,2),"月","火","水","木","金","土","日"))</f>
        <v/>
      </c>
      <c r="O129" s="5" t="str">
        <f aca="false">IF(B129="","",IF(HOUR(B129)&lt;6,"深夜(0-5時)",IF(HOUR(B129)&lt;11,"朝(6-10時)",IF(HOUR(B129)&lt;15,"昼(11-14時)",IF(HOUR(B129)&lt;19,"夕方(15-18時)","夜(19-23時)")))))</f>
        <v/>
      </c>
      <c r="P129" s="32" t="str">
        <f aca="false">IF(M129="","",M129+ROW()/1000000000)</f>
        <v/>
      </c>
    </row>
    <row r="130" customFormat="false" ht="15" hidden="false" customHeight="false" outlineLevel="0" collapsed="false">
      <c r="A130" s="25"/>
      <c r="B130" s="26"/>
      <c r="C130" s="27"/>
      <c r="D130" s="28"/>
      <c r="E130" s="28"/>
      <c r="F130" s="29"/>
      <c r="G130" s="29"/>
      <c r="H130" s="29"/>
      <c r="I130" s="29"/>
      <c r="J130" s="29"/>
      <c r="K130" s="29"/>
      <c r="L130" s="30" t="str">
        <f aca="false">IF(A130="","",SUM(G130:K130))</f>
        <v/>
      </c>
      <c r="M130" s="31" t="str">
        <f aca="false">IF(A130="","",IF(F130=0,0,L130/F130))</f>
        <v/>
      </c>
      <c r="N130" s="5" t="str">
        <f aca="false">IF(A130="","",CHOOSE(WEEKDAY(A130,2),"月","火","水","木","金","土","日"))</f>
        <v/>
      </c>
      <c r="O130" s="5" t="str">
        <f aca="false">IF(B130="","",IF(HOUR(B130)&lt;6,"深夜(0-5時)",IF(HOUR(B130)&lt;11,"朝(6-10時)",IF(HOUR(B130)&lt;15,"昼(11-14時)",IF(HOUR(B130)&lt;19,"夕方(15-18時)","夜(19-23時)")))))</f>
        <v/>
      </c>
      <c r="P130" s="32" t="str">
        <f aca="false">IF(M130="","",M130+ROW()/1000000000)</f>
        <v/>
      </c>
    </row>
    <row r="131" customFormat="false" ht="15" hidden="false" customHeight="false" outlineLevel="0" collapsed="false">
      <c r="A131" s="25"/>
      <c r="B131" s="26"/>
      <c r="C131" s="27"/>
      <c r="D131" s="28"/>
      <c r="E131" s="28"/>
      <c r="F131" s="29"/>
      <c r="G131" s="29"/>
      <c r="H131" s="29"/>
      <c r="I131" s="29"/>
      <c r="J131" s="29"/>
      <c r="K131" s="29"/>
      <c r="L131" s="30" t="str">
        <f aca="false">IF(A131="","",SUM(G131:K131))</f>
        <v/>
      </c>
      <c r="M131" s="31" t="str">
        <f aca="false">IF(A131="","",IF(F131=0,0,L131/F131))</f>
        <v/>
      </c>
      <c r="N131" s="5" t="str">
        <f aca="false">IF(A131="","",CHOOSE(WEEKDAY(A131,2),"月","火","水","木","金","土","日"))</f>
        <v/>
      </c>
      <c r="O131" s="5" t="str">
        <f aca="false">IF(B131="","",IF(HOUR(B131)&lt;6,"深夜(0-5時)",IF(HOUR(B131)&lt;11,"朝(6-10時)",IF(HOUR(B131)&lt;15,"昼(11-14時)",IF(HOUR(B131)&lt;19,"夕方(15-18時)","夜(19-23時)")))))</f>
        <v/>
      </c>
      <c r="P131" s="32" t="str">
        <f aca="false">IF(M131="","",M131+ROW()/1000000000)</f>
        <v/>
      </c>
    </row>
    <row r="132" customFormat="false" ht="15" hidden="false" customHeight="false" outlineLevel="0" collapsed="false">
      <c r="A132" s="25"/>
      <c r="B132" s="26"/>
      <c r="C132" s="27"/>
      <c r="D132" s="28"/>
      <c r="E132" s="28"/>
      <c r="F132" s="29"/>
      <c r="G132" s="29"/>
      <c r="H132" s="29"/>
      <c r="I132" s="29"/>
      <c r="J132" s="29"/>
      <c r="K132" s="29"/>
      <c r="L132" s="30" t="str">
        <f aca="false">IF(A132="","",SUM(G132:K132))</f>
        <v/>
      </c>
      <c r="M132" s="31" t="str">
        <f aca="false">IF(A132="","",IF(F132=0,0,L132/F132))</f>
        <v/>
      </c>
      <c r="N132" s="5" t="str">
        <f aca="false">IF(A132="","",CHOOSE(WEEKDAY(A132,2),"月","火","水","木","金","土","日"))</f>
        <v/>
      </c>
      <c r="O132" s="5" t="str">
        <f aca="false">IF(B132="","",IF(HOUR(B132)&lt;6,"深夜(0-5時)",IF(HOUR(B132)&lt;11,"朝(6-10時)",IF(HOUR(B132)&lt;15,"昼(11-14時)",IF(HOUR(B132)&lt;19,"夕方(15-18時)","夜(19-23時)")))))</f>
        <v/>
      </c>
      <c r="P132" s="32" t="str">
        <f aca="false">IF(M132="","",M132+ROW()/1000000000)</f>
        <v/>
      </c>
    </row>
    <row r="133" customFormat="false" ht="15" hidden="false" customHeight="false" outlineLevel="0" collapsed="false">
      <c r="A133" s="25"/>
      <c r="B133" s="26"/>
      <c r="C133" s="27"/>
      <c r="D133" s="28"/>
      <c r="E133" s="28"/>
      <c r="F133" s="29"/>
      <c r="G133" s="29"/>
      <c r="H133" s="29"/>
      <c r="I133" s="29"/>
      <c r="J133" s="29"/>
      <c r="K133" s="29"/>
      <c r="L133" s="30" t="str">
        <f aca="false">IF(A133="","",SUM(G133:K133))</f>
        <v/>
      </c>
      <c r="M133" s="31" t="str">
        <f aca="false">IF(A133="","",IF(F133=0,0,L133/F133))</f>
        <v/>
      </c>
      <c r="N133" s="5" t="str">
        <f aca="false">IF(A133="","",CHOOSE(WEEKDAY(A133,2),"月","火","水","木","金","土","日"))</f>
        <v/>
      </c>
      <c r="O133" s="5" t="str">
        <f aca="false">IF(B133="","",IF(HOUR(B133)&lt;6,"深夜(0-5時)",IF(HOUR(B133)&lt;11,"朝(6-10時)",IF(HOUR(B133)&lt;15,"昼(11-14時)",IF(HOUR(B133)&lt;19,"夕方(15-18時)","夜(19-23時)")))))</f>
        <v/>
      </c>
      <c r="P133" s="32" t="str">
        <f aca="false">IF(M133="","",M133+ROW()/1000000000)</f>
        <v/>
      </c>
    </row>
    <row r="134" customFormat="false" ht="15" hidden="false" customHeight="false" outlineLevel="0" collapsed="false">
      <c r="A134" s="25"/>
      <c r="B134" s="26"/>
      <c r="C134" s="27"/>
      <c r="D134" s="28"/>
      <c r="E134" s="28"/>
      <c r="F134" s="29"/>
      <c r="G134" s="29"/>
      <c r="H134" s="29"/>
      <c r="I134" s="29"/>
      <c r="J134" s="29"/>
      <c r="K134" s="29"/>
      <c r="L134" s="30" t="str">
        <f aca="false">IF(A134="","",SUM(G134:K134))</f>
        <v/>
      </c>
      <c r="M134" s="31" t="str">
        <f aca="false">IF(A134="","",IF(F134=0,0,L134/F134))</f>
        <v/>
      </c>
      <c r="N134" s="5" t="str">
        <f aca="false">IF(A134="","",CHOOSE(WEEKDAY(A134,2),"月","火","水","木","金","土","日"))</f>
        <v/>
      </c>
      <c r="O134" s="5" t="str">
        <f aca="false">IF(B134="","",IF(HOUR(B134)&lt;6,"深夜(0-5時)",IF(HOUR(B134)&lt;11,"朝(6-10時)",IF(HOUR(B134)&lt;15,"昼(11-14時)",IF(HOUR(B134)&lt;19,"夕方(15-18時)","夜(19-23時)")))))</f>
        <v/>
      </c>
      <c r="P134" s="32" t="str">
        <f aca="false">IF(M134="","",M134+ROW()/1000000000)</f>
        <v/>
      </c>
    </row>
    <row r="135" customFormat="false" ht="15" hidden="false" customHeight="false" outlineLevel="0" collapsed="false">
      <c r="A135" s="25"/>
      <c r="B135" s="26"/>
      <c r="C135" s="27"/>
      <c r="D135" s="28"/>
      <c r="E135" s="28"/>
      <c r="F135" s="29"/>
      <c r="G135" s="29"/>
      <c r="H135" s="29"/>
      <c r="I135" s="29"/>
      <c r="J135" s="29"/>
      <c r="K135" s="29"/>
      <c r="L135" s="30" t="str">
        <f aca="false">IF(A135="","",SUM(G135:K135))</f>
        <v/>
      </c>
      <c r="M135" s="31" t="str">
        <f aca="false">IF(A135="","",IF(F135=0,0,L135/F135))</f>
        <v/>
      </c>
      <c r="N135" s="5" t="str">
        <f aca="false">IF(A135="","",CHOOSE(WEEKDAY(A135,2),"月","火","水","木","金","土","日"))</f>
        <v/>
      </c>
      <c r="O135" s="5" t="str">
        <f aca="false">IF(B135="","",IF(HOUR(B135)&lt;6,"深夜(0-5時)",IF(HOUR(B135)&lt;11,"朝(6-10時)",IF(HOUR(B135)&lt;15,"昼(11-14時)",IF(HOUR(B135)&lt;19,"夕方(15-18時)","夜(19-23時)")))))</f>
        <v/>
      </c>
      <c r="P135" s="32" t="str">
        <f aca="false">IF(M135="","",M135+ROW()/1000000000)</f>
        <v/>
      </c>
    </row>
    <row r="136" customFormat="false" ht="15" hidden="false" customHeight="false" outlineLevel="0" collapsed="false">
      <c r="A136" s="25"/>
      <c r="B136" s="26"/>
      <c r="C136" s="27"/>
      <c r="D136" s="28"/>
      <c r="E136" s="28"/>
      <c r="F136" s="29"/>
      <c r="G136" s="29"/>
      <c r="H136" s="29"/>
      <c r="I136" s="29"/>
      <c r="J136" s="29"/>
      <c r="K136" s="29"/>
      <c r="L136" s="30" t="str">
        <f aca="false">IF(A136="","",SUM(G136:K136))</f>
        <v/>
      </c>
      <c r="M136" s="31" t="str">
        <f aca="false">IF(A136="","",IF(F136=0,0,L136/F136))</f>
        <v/>
      </c>
      <c r="N136" s="5" t="str">
        <f aca="false">IF(A136="","",CHOOSE(WEEKDAY(A136,2),"月","火","水","木","金","土","日"))</f>
        <v/>
      </c>
      <c r="O136" s="5" t="str">
        <f aca="false">IF(B136="","",IF(HOUR(B136)&lt;6,"深夜(0-5時)",IF(HOUR(B136)&lt;11,"朝(6-10時)",IF(HOUR(B136)&lt;15,"昼(11-14時)",IF(HOUR(B136)&lt;19,"夕方(15-18時)","夜(19-23時)")))))</f>
        <v/>
      </c>
      <c r="P136" s="32" t="str">
        <f aca="false">IF(M136="","",M136+ROW()/1000000000)</f>
        <v/>
      </c>
    </row>
    <row r="137" customFormat="false" ht="15" hidden="false" customHeight="false" outlineLevel="0" collapsed="false">
      <c r="A137" s="25"/>
      <c r="B137" s="26"/>
      <c r="C137" s="27"/>
      <c r="D137" s="28"/>
      <c r="E137" s="28"/>
      <c r="F137" s="29"/>
      <c r="G137" s="29"/>
      <c r="H137" s="29"/>
      <c r="I137" s="29"/>
      <c r="J137" s="29"/>
      <c r="K137" s="29"/>
      <c r="L137" s="30" t="str">
        <f aca="false">IF(A137="","",SUM(G137:K137))</f>
        <v/>
      </c>
      <c r="M137" s="31" t="str">
        <f aca="false">IF(A137="","",IF(F137=0,0,L137/F137))</f>
        <v/>
      </c>
      <c r="N137" s="5" t="str">
        <f aca="false">IF(A137="","",CHOOSE(WEEKDAY(A137,2),"月","火","水","木","金","土","日"))</f>
        <v/>
      </c>
      <c r="O137" s="5" t="str">
        <f aca="false">IF(B137="","",IF(HOUR(B137)&lt;6,"深夜(0-5時)",IF(HOUR(B137)&lt;11,"朝(6-10時)",IF(HOUR(B137)&lt;15,"昼(11-14時)",IF(HOUR(B137)&lt;19,"夕方(15-18時)","夜(19-23時)")))))</f>
        <v/>
      </c>
      <c r="P137" s="32" t="str">
        <f aca="false">IF(M137="","",M137+ROW()/1000000000)</f>
        <v/>
      </c>
    </row>
    <row r="138" customFormat="false" ht="15" hidden="false" customHeight="false" outlineLevel="0" collapsed="false">
      <c r="A138" s="25"/>
      <c r="B138" s="26"/>
      <c r="C138" s="27"/>
      <c r="D138" s="28"/>
      <c r="E138" s="28"/>
      <c r="F138" s="29"/>
      <c r="G138" s="29"/>
      <c r="H138" s="29"/>
      <c r="I138" s="29"/>
      <c r="J138" s="29"/>
      <c r="K138" s="29"/>
      <c r="L138" s="30" t="str">
        <f aca="false">IF(A138="","",SUM(G138:K138))</f>
        <v/>
      </c>
      <c r="M138" s="31" t="str">
        <f aca="false">IF(A138="","",IF(F138=0,0,L138/F138))</f>
        <v/>
      </c>
      <c r="N138" s="5" t="str">
        <f aca="false">IF(A138="","",CHOOSE(WEEKDAY(A138,2),"月","火","水","木","金","土","日"))</f>
        <v/>
      </c>
      <c r="O138" s="5" t="str">
        <f aca="false">IF(B138="","",IF(HOUR(B138)&lt;6,"深夜(0-5時)",IF(HOUR(B138)&lt;11,"朝(6-10時)",IF(HOUR(B138)&lt;15,"昼(11-14時)",IF(HOUR(B138)&lt;19,"夕方(15-18時)","夜(19-23時)")))))</f>
        <v/>
      </c>
      <c r="P138" s="32" t="str">
        <f aca="false">IF(M138="","",M138+ROW()/1000000000)</f>
        <v/>
      </c>
    </row>
    <row r="139" customFormat="false" ht="15" hidden="false" customHeight="false" outlineLevel="0" collapsed="false">
      <c r="A139" s="25"/>
      <c r="B139" s="26"/>
      <c r="C139" s="27"/>
      <c r="D139" s="28"/>
      <c r="E139" s="28"/>
      <c r="F139" s="29"/>
      <c r="G139" s="29"/>
      <c r="H139" s="29"/>
      <c r="I139" s="29"/>
      <c r="J139" s="29"/>
      <c r="K139" s="29"/>
      <c r="L139" s="30" t="str">
        <f aca="false">IF(A139="","",SUM(G139:K139))</f>
        <v/>
      </c>
      <c r="M139" s="31" t="str">
        <f aca="false">IF(A139="","",IF(F139=0,0,L139/F139))</f>
        <v/>
      </c>
      <c r="N139" s="5" t="str">
        <f aca="false">IF(A139="","",CHOOSE(WEEKDAY(A139,2),"月","火","水","木","金","土","日"))</f>
        <v/>
      </c>
      <c r="O139" s="5" t="str">
        <f aca="false">IF(B139="","",IF(HOUR(B139)&lt;6,"深夜(0-5時)",IF(HOUR(B139)&lt;11,"朝(6-10時)",IF(HOUR(B139)&lt;15,"昼(11-14時)",IF(HOUR(B139)&lt;19,"夕方(15-18時)","夜(19-23時)")))))</f>
        <v/>
      </c>
      <c r="P139" s="32" t="str">
        <f aca="false">IF(M139="","",M139+ROW()/1000000000)</f>
        <v/>
      </c>
    </row>
    <row r="140" customFormat="false" ht="15" hidden="false" customHeight="false" outlineLevel="0" collapsed="false">
      <c r="A140" s="25"/>
      <c r="B140" s="26"/>
      <c r="C140" s="27"/>
      <c r="D140" s="28"/>
      <c r="E140" s="28"/>
      <c r="F140" s="29"/>
      <c r="G140" s="29"/>
      <c r="H140" s="29"/>
      <c r="I140" s="29"/>
      <c r="J140" s="29"/>
      <c r="K140" s="29"/>
      <c r="L140" s="30" t="str">
        <f aca="false">IF(A140="","",SUM(G140:K140))</f>
        <v/>
      </c>
      <c r="M140" s="31" t="str">
        <f aca="false">IF(A140="","",IF(F140=0,0,L140/F140))</f>
        <v/>
      </c>
      <c r="N140" s="5" t="str">
        <f aca="false">IF(A140="","",CHOOSE(WEEKDAY(A140,2),"月","火","水","木","金","土","日"))</f>
        <v/>
      </c>
      <c r="O140" s="5" t="str">
        <f aca="false">IF(B140="","",IF(HOUR(B140)&lt;6,"深夜(0-5時)",IF(HOUR(B140)&lt;11,"朝(6-10時)",IF(HOUR(B140)&lt;15,"昼(11-14時)",IF(HOUR(B140)&lt;19,"夕方(15-18時)","夜(19-23時)")))))</f>
        <v/>
      </c>
      <c r="P140" s="32" t="str">
        <f aca="false">IF(M140="","",M140+ROW()/1000000000)</f>
        <v/>
      </c>
    </row>
    <row r="141" customFormat="false" ht="15" hidden="false" customHeight="false" outlineLevel="0" collapsed="false">
      <c r="A141" s="25"/>
      <c r="B141" s="26"/>
      <c r="C141" s="27"/>
      <c r="D141" s="28"/>
      <c r="E141" s="28"/>
      <c r="F141" s="29"/>
      <c r="G141" s="29"/>
      <c r="H141" s="29"/>
      <c r="I141" s="29"/>
      <c r="J141" s="29"/>
      <c r="K141" s="29"/>
      <c r="L141" s="30" t="str">
        <f aca="false">IF(A141="","",SUM(G141:K141))</f>
        <v/>
      </c>
      <c r="M141" s="31" t="str">
        <f aca="false">IF(A141="","",IF(F141=0,0,L141/F141))</f>
        <v/>
      </c>
      <c r="N141" s="5" t="str">
        <f aca="false">IF(A141="","",CHOOSE(WEEKDAY(A141,2),"月","火","水","木","金","土","日"))</f>
        <v/>
      </c>
      <c r="O141" s="5" t="str">
        <f aca="false">IF(B141="","",IF(HOUR(B141)&lt;6,"深夜(0-5時)",IF(HOUR(B141)&lt;11,"朝(6-10時)",IF(HOUR(B141)&lt;15,"昼(11-14時)",IF(HOUR(B141)&lt;19,"夕方(15-18時)","夜(19-23時)")))))</f>
        <v/>
      </c>
      <c r="P141" s="32" t="str">
        <f aca="false">IF(M141="","",M141+ROW()/1000000000)</f>
        <v/>
      </c>
    </row>
    <row r="142" customFormat="false" ht="15" hidden="false" customHeight="false" outlineLevel="0" collapsed="false">
      <c r="A142" s="25"/>
      <c r="B142" s="26"/>
      <c r="C142" s="27"/>
      <c r="D142" s="28"/>
      <c r="E142" s="28"/>
      <c r="F142" s="29"/>
      <c r="G142" s="29"/>
      <c r="H142" s="29"/>
      <c r="I142" s="29"/>
      <c r="J142" s="29"/>
      <c r="K142" s="29"/>
      <c r="L142" s="30" t="str">
        <f aca="false">IF(A142="","",SUM(G142:K142))</f>
        <v/>
      </c>
      <c r="M142" s="31" t="str">
        <f aca="false">IF(A142="","",IF(F142=0,0,L142/F142))</f>
        <v/>
      </c>
      <c r="N142" s="5" t="str">
        <f aca="false">IF(A142="","",CHOOSE(WEEKDAY(A142,2),"月","火","水","木","金","土","日"))</f>
        <v/>
      </c>
      <c r="O142" s="5" t="str">
        <f aca="false">IF(B142="","",IF(HOUR(B142)&lt;6,"深夜(0-5時)",IF(HOUR(B142)&lt;11,"朝(6-10時)",IF(HOUR(B142)&lt;15,"昼(11-14時)",IF(HOUR(B142)&lt;19,"夕方(15-18時)","夜(19-23時)")))))</f>
        <v/>
      </c>
      <c r="P142" s="32" t="str">
        <f aca="false">IF(M142="","",M142+ROW()/1000000000)</f>
        <v/>
      </c>
    </row>
    <row r="143" customFormat="false" ht="15" hidden="false" customHeight="false" outlineLevel="0" collapsed="false">
      <c r="A143" s="25"/>
      <c r="B143" s="26"/>
      <c r="C143" s="27"/>
      <c r="D143" s="28"/>
      <c r="E143" s="28"/>
      <c r="F143" s="29"/>
      <c r="G143" s="29"/>
      <c r="H143" s="29"/>
      <c r="I143" s="29"/>
      <c r="J143" s="29"/>
      <c r="K143" s="29"/>
      <c r="L143" s="30" t="str">
        <f aca="false">IF(A143="","",SUM(G143:K143))</f>
        <v/>
      </c>
      <c r="M143" s="31" t="str">
        <f aca="false">IF(A143="","",IF(F143=0,0,L143/F143))</f>
        <v/>
      </c>
      <c r="N143" s="5" t="str">
        <f aca="false">IF(A143="","",CHOOSE(WEEKDAY(A143,2),"月","火","水","木","金","土","日"))</f>
        <v/>
      </c>
      <c r="O143" s="5" t="str">
        <f aca="false">IF(B143="","",IF(HOUR(B143)&lt;6,"深夜(0-5時)",IF(HOUR(B143)&lt;11,"朝(6-10時)",IF(HOUR(B143)&lt;15,"昼(11-14時)",IF(HOUR(B143)&lt;19,"夕方(15-18時)","夜(19-23時)")))))</f>
        <v/>
      </c>
      <c r="P143" s="32" t="str">
        <f aca="false">IF(M143="","",M143+ROW()/1000000000)</f>
        <v/>
      </c>
    </row>
    <row r="144" customFormat="false" ht="15" hidden="false" customHeight="false" outlineLevel="0" collapsed="false">
      <c r="A144" s="25"/>
      <c r="B144" s="26"/>
      <c r="C144" s="27"/>
      <c r="D144" s="28"/>
      <c r="E144" s="28"/>
      <c r="F144" s="29"/>
      <c r="G144" s="29"/>
      <c r="H144" s="29"/>
      <c r="I144" s="29"/>
      <c r="J144" s="29"/>
      <c r="K144" s="29"/>
      <c r="L144" s="30" t="str">
        <f aca="false">IF(A144="","",SUM(G144:K144))</f>
        <v/>
      </c>
      <c r="M144" s="31" t="str">
        <f aca="false">IF(A144="","",IF(F144=0,0,L144/F144))</f>
        <v/>
      </c>
      <c r="N144" s="5" t="str">
        <f aca="false">IF(A144="","",CHOOSE(WEEKDAY(A144,2),"月","火","水","木","金","土","日"))</f>
        <v/>
      </c>
      <c r="O144" s="5" t="str">
        <f aca="false">IF(B144="","",IF(HOUR(B144)&lt;6,"深夜(0-5時)",IF(HOUR(B144)&lt;11,"朝(6-10時)",IF(HOUR(B144)&lt;15,"昼(11-14時)",IF(HOUR(B144)&lt;19,"夕方(15-18時)","夜(19-23時)")))))</f>
        <v/>
      </c>
      <c r="P144" s="32" t="str">
        <f aca="false">IF(M144="","",M144+ROW()/1000000000)</f>
        <v/>
      </c>
    </row>
    <row r="145" customFormat="false" ht="15" hidden="false" customHeight="false" outlineLevel="0" collapsed="false">
      <c r="A145" s="25"/>
      <c r="B145" s="26"/>
      <c r="C145" s="27"/>
      <c r="D145" s="28"/>
      <c r="E145" s="28"/>
      <c r="F145" s="29"/>
      <c r="G145" s="29"/>
      <c r="H145" s="29"/>
      <c r="I145" s="29"/>
      <c r="J145" s="29"/>
      <c r="K145" s="29"/>
      <c r="L145" s="30" t="str">
        <f aca="false">IF(A145="","",SUM(G145:K145))</f>
        <v/>
      </c>
      <c r="M145" s="31" t="str">
        <f aca="false">IF(A145="","",IF(F145=0,0,L145/F145))</f>
        <v/>
      </c>
      <c r="N145" s="5" t="str">
        <f aca="false">IF(A145="","",CHOOSE(WEEKDAY(A145,2),"月","火","水","木","金","土","日"))</f>
        <v/>
      </c>
      <c r="O145" s="5" t="str">
        <f aca="false">IF(B145="","",IF(HOUR(B145)&lt;6,"深夜(0-5時)",IF(HOUR(B145)&lt;11,"朝(6-10時)",IF(HOUR(B145)&lt;15,"昼(11-14時)",IF(HOUR(B145)&lt;19,"夕方(15-18時)","夜(19-23時)")))))</f>
        <v/>
      </c>
      <c r="P145" s="32" t="str">
        <f aca="false">IF(M145="","",M145+ROW()/1000000000)</f>
        <v/>
      </c>
    </row>
    <row r="146" customFormat="false" ht="15" hidden="false" customHeight="false" outlineLevel="0" collapsed="false">
      <c r="A146" s="25"/>
      <c r="B146" s="26"/>
      <c r="C146" s="27"/>
      <c r="D146" s="28"/>
      <c r="E146" s="28"/>
      <c r="F146" s="29"/>
      <c r="G146" s="29"/>
      <c r="H146" s="29"/>
      <c r="I146" s="29"/>
      <c r="J146" s="29"/>
      <c r="K146" s="29"/>
      <c r="L146" s="30" t="str">
        <f aca="false">IF(A146="","",SUM(G146:K146))</f>
        <v/>
      </c>
      <c r="M146" s="31" t="str">
        <f aca="false">IF(A146="","",IF(F146=0,0,L146/F146))</f>
        <v/>
      </c>
      <c r="N146" s="5" t="str">
        <f aca="false">IF(A146="","",CHOOSE(WEEKDAY(A146,2),"月","火","水","木","金","土","日"))</f>
        <v/>
      </c>
      <c r="O146" s="5" t="str">
        <f aca="false">IF(B146="","",IF(HOUR(B146)&lt;6,"深夜(0-5時)",IF(HOUR(B146)&lt;11,"朝(6-10時)",IF(HOUR(B146)&lt;15,"昼(11-14時)",IF(HOUR(B146)&lt;19,"夕方(15-18時)","夜(19-23時)")))))</f>
        <v/>
      </c>
      <c r="P146" s="32" t="str">
        <f aca="false">IF(M146="","",M146+ROW()/1000000000)</f>
        <v/>
      </c>
    </row>
    <row r="147" customFormat="false" ht="15" hidden="false" customHeight="false" outlineLevel="0" collapsed="false">
      <c r="A147" s="25"/>
      <c r="B147" s="26"/>
      <c r="C147" s="27"/>
      <c r="D147" s="28"/>
      <c r="E147" s="28"/>
      <c r="F147" s="29"/>
      <c r="G147" s="29"/>
      <c r="H147" s="29"/>
      <c r="I147" s="29"/>
      <c r="J147" s="29"/>
      <c r="K147" s="29"/>
      <c r="L147" s="30" t="str">
        <f aca="false">IF(A147="","",SUM(G147:K147))</f>
        <v/>
      </c>
      <c r="M147" s="31" t="str">
        <f aca="false">IF(A147="","",IF(F147=0,0,L147/F147))</f>
        <v/>
      </c>
      <c r="N147" s="5" t="str">
        <f aca="false">IF(A147="","",CHOOSE(WEEKDAY(A147,2),"月","火","水","木","金","土","日"))</f>
        <v/>
      </c>
      <c r="O147" s="5" t="str">
        <f aca="false">IF(B147="","",IF(HOUR(B147)&lt;6,"深夜(0-5時)",IF(HOUR(B147)&lt;11,"朝(6-10時)",IF(HOUR(B147)&lt;15,"昼(11-14時)",IF(HOUR(B147)&lt;19,"夕方(15-18時)","夜(19-23時)")))))</f>
        <v/>
      </c>
      <c r="P147" s="32" t="str">
        <f aca="false">IF(M147="","",M147+ROW()/1000000000)</f>
        <v/>
      </c>
    </row>
    <row r="148" customFormat="false" ht="15" hidden="false" customHeight="false" outlineLevel="0" collapsed="false">
      <c r="A148" s="25"/>
      <c r="B148" s="26"/>
      <c r="C148" s="27"/>
      <c r="D148" s="28"/>
      <c r="E148" s="28"/>
      <c r="F148" s="29"/>
      <c r="G148" s="29"/>
      <c r="H148" s="29"/>
      <c r="I148" s="29"/>
      <c r="J148" s="29"/>
      <c r="K148" s="29"/>
      <c r="L148" s="30" t="str">
        <f aca="false">IF(A148="","",SUM(G148:K148))</f>
        <v/>
      </c>
      <c r="M148" s="31" t="str">
        <f aca="false">IF(A148="","",IF(F148=0,0,L148/F148))</f>
        <v/>
      </c>
      <c r="N148" s="5" t="str">
        <f aca="false">IF(A148="","",CHOOSE(WEEKDAY(A148,2),"月","火","水","木","金","土","日"))</f>
        <v/>
      </c>
      <c r="O148" s="5" t="str">
        <f aca="false">IF(B148="","",IF(HOUR(B148)&lt;6,"深夜(0-5時)",IF(HOUR(B148)&lt;11,"朝(6-10時)",IF(HOUR(B148)&lt;15,"昼(11-14時)",IF(HOUR(B148)&lt;19,"夕方(15-18時)","夜(19-23時)")))))</f>
        <v/>
      </c>
      <c r="P148" s="32" t="str">
        <f aca="false">IF(M148="","",M148+ROW()/1000000000)</f>
        <v/>
      </c>
    </row>
    <row r="149" customFormat="false" ht="15" hidden="false" customHeight="false" outlineLevel="0" collapsed="false">
      <c r="A149" s="25"/>
      <c r="B149" s="26"/>
      <c r="C149" s="27"/>
      <c r="D149" s="28"/>
      <c r="E149" s="28"/>
      <c r="F149" s="29"/>
      <c r="G149" s="29"/>
      <c r="H149" s="29"/>
      <c r="I149" s="29"/>
      <c r="J149" s="29"/>
      <c r="K149" s="29"/>
      <c r="L149" s="30" t="str">
        <f aca="false">IF(A149="","",SUM(G149:K149))</f>
        <v/>
      </c>
      <c r="M149" s="31" t="str">
        <f aca="false">IF(A149="","",IF(F149=0,0,L149/F149))</f>
        <v/>
      </c>
      <c r="N149" s="5" t="str">
        <f aca="false">IF(A149="","",CHOOSE(WEEKDAY(A149,2),"月","火","水","木","金","土","日"))</f>
        <v/>
      </c>
      <c r="O149" s="5" t="str">
        <f aca="false">IF(B149="","",IF(HOUR(B149)&lt;6,"深夜(0-5時)",IF(HOUR(B149)&lt;11,"朝(6-10時)",IF(HOUR(B149)&lt;15,"昼(11-14時)",IF(HOUR(B149)&lt;19,"夕方(15-18時)","夜(19-23時)")))))</f>
        <v/>
      </c>
      <c r="P149" s="32" t="str">
        <f aca="false">IF(M149="","",M149+ROW()/1000000000)</f>
        <v/>
      </c>
    </row>
    <row r="150" customFormat="false" ht="15" hidden="false" customHeight="false" outlineLevel="0" collapsed="false">
      <c r="A150" s="25"/>
      <c r="B150" s="26"/>
      <c r="C150" s="27"/>
      <c r="D150" s="28"/>
      <c r="E150" s="28"/>
      <c r="F150" s="29"/>
      <c r="G150" s="29"/>
      <c r="H150" s="29"/>
      <c r="I150" s="29"/>
      <c r="J150" s="29"/>
      <c r="K150" s="29"/>
      <c r="L150" s="30" t="str">
        <f aca="false">IF(A150="","",SUM(G150:K150))</f>
        <v/>
      </c>
      <c r="M150" s="31" t="str">
        <f aca="false">IF(A150="","",IF(F150=0,0,L150/F150))</f>
        <v/>
      </c>
      <c r="N150" s="5" t="str">
        <f aca="false">IF(A150="","",CHOOSE(WEEKDAY(A150,2),"月","火","水","木","金","土","日"))</f>
        <v/>
      </c>
      <c r="O150" s="5" t="str">
        <f aca="false">IF(B150="","",IF(HOUR(B150)&lt;6,"深夜(0-5時)",IF(HOUR(B150)&lt;11,"朝(6-10時)",IF(HOUR(B150)&lt;15,"昼(11-14時)",IF(HOUR(B150)&lt;19,"夕方(15-18時)","夜(19-23時)")))))</f>
        <v/>
      </c>
      <c r="P150" s="32" t="str">
        <f aca="false">IF(M150="","",M150+ROW()/1000000000)</f>
        <v/>
      </c>
    </row>
    <row r="151" customFormat="false" ht="15" hidden="false" customHeight="false" outlineLevel="0" collapsed="false">
      <c r="A151" s="25"/>
      <c r="B151" s="26"/>
      <c r="C151" s="27"/>
      <c r="D151" s="28"/>
      <c r="E151" s="28"/>
      <c r="F151" s="29"/>
      <c r="G151" s="29"/>
      <c r="H151" s="29"/>
      <c r="I151" s="29"/>
      <c r="J151" s="29"/>
      <c r="K151" s="29"/>
      <c r="L151" s="30" t="str">
        <f aca="false">IF(A151="","",SUM(G151:K151))</f>
        <v/>
      </c>
      <c r="M151" s="31" t="str">
        <f aca="false">IF(A151="","",IF(F151=0,0,L151/F151))</f>
        <v/>
      </c>
      <c r="N151" s="5" t="str">
        <f aca="false">IF(A151="","",CHOOSE(WEEKDAY(A151,2),"月","火","水","木","金","土","日"))</f>
        <v/>
      </c>
      <c r="O151" s="5" t="str">
        <f aca="false">IF(B151="","",IF(HOUR(B151)&lt;6,"深夜(0-5時)",IF(HOUR(B151)&lt;11,"朝(6-10時)",IF(HOUR(B151)&lt;15,"昼(11-14時)",IF(HOUR(B151)&lt;19,"夕方(15-18時)","夜(19-23時)")))))</f>
        <v/>
      </c>
      <c r="P151" s="32" t="str">
        <f aca="false">IF(M151="","",M151+ROW()/1000000000)</f>
        <v/>
      </c>
    </row>
    <row r="152" customFormat="false" ht="15" hidden="false" customHeight="false" outlineLevel="0" collapsed="false">
      <c r="A152" s="25"/>
      <c r="B152" s="26"/>
      <c r="C152" s="27"/>
      <c r="D152" s="28"/>
      <c r="E152" s="28"/>
      <c r="F152" s="29"/>
      <c r="G152" s="29"/>
      <c r="H152" s="29"/>
      <c r="I152" s="29"/>
      <c r="J152" s="29"/>
      <c r="K152" s="29"/>
      <c r="L152" s="30" t="str">
        <f aca="false">IF(A152="","",SUM(G152:K152))</f>
        <v/>
      </c>
      <c r="M152" s="31" t="str">
        <f aca="false">IF(A152="","",IF(F152=0,0,L152/F152))</f>
        <v/>
      </c>
      <c r="N152" s="5" t="str">
        <f aca="false">IF(A152="","",CHOOSE(WEEKDAY(A152,2),"月","火","水","木","金","土","日"))</f>
        <v/>
      </c>
      <c r="O152" s="5" t="str">
        <f aca="false">IF(B152="","",IF(HOUR(B152)&lt;6,"深夜(0-5時)",IF(HOUR(B152)&lt;11,"朝(6-10時)",IF(HOUR(B152)&lt;15,"昼(11-14時)",IF(HOUR(B152)&lt;19,"夕方(15-18時)","夜(19-23時)")))))</f>
        <v/>
      </c>
      <c r="P152" s="32" t="str">
        <f aca="false">IF(M152="","",M152+ROW()/1000000000)</f>
        <v/>
      </c>
    </row>
    <row r="153" customFormat="false" ht="15" hidden="false" customHeight="false" outlineLevel="0" collapsed="false">
      <c r="A153" s="25"/>
      <c r="B153" s="26"/>
      <c r="C153" s="27"/>
      <c r="D153" s="28"/>
      <c r="E153" s="28"/>
      <c r="F153" s="29"/>
      <c r="G153" s="29"/>
      <c r="H153" s="29"/>
      <c r="I153" s="29"/>
      <c r="J153" s="29"/>
      <c r="K153" s="29"/>
      <c r="L153" s="30" t="str">
        <f aca="false">IF(A153="","",SUM(G153:K153))</f>
        <v/>
      </c>
      <c r="M153" s="31" t="str">
        <f aca="false">IF(A153="","",IF(F153=0,0,L153/F153))</f>
        <v/>
      </c>
      <c r="N153" s="5" t="str">
        <f aca="false">IF(A153="","",CHOOSE(WEEKDAY(A153,2),"月","火","水","木","金","土","日"))</f>
        <v/>
      </c>
      <c r="O153" s="5" t="str">
        <f aca="false">IF(B153="","",IF(HOUR(B153)&lt;6,"深夜(0-5時)",IF(HOUR(B153)&lt;11,"朝(6-10時)",IF(HOUR(B153)&lt;15,"昼(11-14時)",IF(HOUR(B153)&lt;19,"夕方(15-18時)","夜(19-23時)")))))</f>
        <v/>
      </c>
      <c r="P153" s="32" t="str">
        <f aca="false">IF(M153="","",M153+ROW()/1000000000)</f>
        <v/>
      </c>
    </row>
    <row r="154" customFormat="false" ht="15" hidden="false" customHeight="false" outlineLevel="0" collapsed="false">
      <c r="A154" s="25"/>
      <c r="B154" s="26"/>
      <c r="C154" s="27"/>
      <c r="D154" s="28"/>
      <c r="E154" s="28"/>
      <c r="F154" s="29"/>
      <c r="G154" s="29"/>
      <c r="H154" s="29"/>
      <c r="I154" s="29"/>
      <c r="J154" s="29"/>
      <c r="K154" s="29"/>
      <c r="L154" s="30" t="str">
        <f aca="false">IF(A154="","",SUM(G154:K154))</f>
        <v/>
      </c>
      <c r="M154" s="31" t="str">
        <f aca="false">IF(A154="","",IF(F154=0,0,L154/F154))</f>
        <v/>
      </c>
      <c r="N154" s="5" t="str">
        <f aca="false">IF(A154="","",CHOOSE(WEEKDAY(A154,2),"月","火","水","木","金","土","日"))</f>
        <v/>
      </c>
      <c r="O154" s="5" t="str">
        <f aca="false">IF(B154="","",IF(HOUR(B154)&lt;6,"深夜(0-5時)",IF(HOUR(B154)&lt;11,"朝(6-10時)",IF(HOUR(B154)&lt;15,"昼(11-14時)",IF(HOUR(B154)&lt;19,"夕方(15-18時)","夜(19-23時)")))))</f>
        <v/>
      </c>
      <c r="P154" s="32" t="str">
        <f aca="false">IF(M154="","",M154+ROW()/1000000000)</f>
        <v/>
      </c>
    </row>
    <row r="155" customFormat="false" ht="15" hidden="false" customHeight="false" outlineLevel="0" collapsed="false">
      <c r="A155" s="25"/>
      <c r="B155" s="26"/>
      <c r="C155" s="27"/>
      <c r="D155" s="28"/>
      <c r="E155" s="28"/>
      <c r="F155" s="29"/>
      <c r="G155" s="29"/>
      <c r="H155" s="29"/>
      <c r="I155" s="29"/>
      <c r="J155" s="29"/>
      <c r="K155" s="29"/>
      <c r="L155" s="30" t="str">
        <f aca="false">IF(A155="","",SUM(G155:K155))</f>
        <v/>
      </c>
      <c r="M155" s="31" t="str">
        <f aca="false">IF(A155="","",IF(F155=0,0,L155/F155))</f>
        <v/>
      </c>
      <c r="N155" s="5" t="str">
        <f aca="false">IF(A155="","",CHOOSE(WEEKDAY(A155,2),"月","火","水","木","金","土","日"))</f>
        <v/>
      </c>
      <c r="O155" s="5" t="str">
        <f aca="false">IF(B155="","",IF(HOUR(B155)&lt;6,"深夜(0-5時)",IF(HOUR(B155)&lt;11,"朝(6-10時)",IF(HOUR(B155)&lt;15,"昼(11-14時)",IF(HOUR(B155)&lt;19,"夕方(15-18時)","夜(19-23時)")))))</f>
        <v/>
      </c>
      <c r="P155" s="32" t="str">
        <f aca="false">IF(M155="","",M155+ROW()/1000000000)</f>
        <v/>
      </c>
    </row>
    <row r="156" customFormat="false" ht="15" hidden="false" customHeight="false" outlineLevel="0" collapsed="false">
      <c r="A156" s="25"/>
      <c r="B156" s="26"/>
      <c r="C156" s="27"/>
      <c r="D156" s="28"/>
      <c r="E156" s="28"/>
      <c r="F156" s="29"/>
      <c r="G156" s="29"/>
      <c r="H156" s="29"/>
      <c r="I156" s="29"/>
      <c r="J156" s="29"/>
      <c r="K156" s="29"/>
      <c r="L156" s="30" t="str">
        <f aca="false">IF(A156="","",SUM(G156:K156))</f>
        <v/>
      </c>
      <c r="M156" s="31" t="str">
        <f aca="false">IF(A156="","",IF(F156=0,0,L156/F156))</f>
        <v/>
      </c>
      <c r="N156" s="5" t="str">
        <f aca="false">IF(A156="","",CHOOSE(WEEKDAY(A156,2),"月","火","水","木","金","土","日"))</f>
        <v/>
      </c>
      <c r="O156" s="5" t="str">
        <f aca="false">IF(B156="","",IF(HOUR(B156)&lt;6,"深夜(0-5時)",IF(HOUR(B156)&lt;11,"朝(6-10時)",IF(HOUR(B156)&lt;15,"昼(11-14時)",IF(HOUR(B156)&lt;19,"夕方(15-18時)","夜(19-23時)")))))</f>
        <v/>
      </c>
      <c r="P156" s="32" t="str">
        <f aca="false">IF(M156="","",M156+ROW()/1000000000)</f>
        <v/>
      </c>
    </row>
    <row r="157" customFormat="false" ht="15" hidden="false" customHeight="false" outlineLevel="0" collapsed="false">
      <c r="A157" s="25"/>
      <c r="B157" s="26"/>
      <c r="C157" s="27"/>
      <c r="D157" s="28"/>
      <c r="E157" s="28"/>
      <c r="F157" s="29"/>
      <c r="G157" s="29"/>
      <c r="H157" s="29"/>
      <c r="I157" s="29"/>
      <c r="J157" s="29"/>
      <c r="K157" s="29"/>
      <c r="L157" s="30" t="str">
        <f aca="false">IF(A157="","",SUM(G157:K157))</f>
        <v/>
      </c>
      <c r="M157" s="31" t="str">
        <f aca="false">IF(A157="","",IF(F157=0,0,L157/F157))</f>
        <v/>
      </c>
      <c r="N157" s="5" t="str">
        <f aca="false">IF(A157="","",CHOOSE(WEEKDAY(A157,2),"月","火","水","木","金","土","日"))</f>
        <v/>
      </c>
      <c r="O157" s="5" t="str">
        <f aca="false">IF(B157="","",IF(HOUR(B157)&lt;6,"深夜(0-5時)",IF(HOUR(B157)&lt;11,"朝(6-10時)",IF(HOUR(B157)&lt;15,"昼(11-14時)",IF(HOUR(B157)&lt;19,"夕方(15-18時)","夜(19-23時)")))))</f>
        <v/>
      </c>
      <c r="P157" s="32" t="str">
        <f aca="false">IF(M157="","",M157+ROW()/1000000000)</f>
        <v/>
      </c>
    </row>
    <row r="158" customFormat="false" ht="15" hidden="false" customHeight="false" outlineLevel="0" collapsed="false">
      <c r="A158" s="25"/>
      <c r="B158" s="26"/>
      <c r="C158" s="27"/>
      <c r="D158" s="28"/>
      <c r="E158" s="28"/>
      <c r="F158" s="29"/>
      <c r="G158" s="29"/>
      <c r="H158" s="29"/>
      <c r="I158" s="29"/>
      <c r="J158" s="29"/>
      <c r="K158" s="29"/>
      <c r="L158" s="30" t="str">
        <f aca="false">IF(A158="","",SUM(G158:K158))</f>
        <v/>
      </c>
      <c r="M158" s="31" t="str">
        <f aca="false">IF(A158="","",IF(F158=0,0,L158/F158))</f>
        <v/>
      </c>
      <c r="N158" s="5" t="str">
        <f aca="false">IF(A158="","",CHOOSE(WEEKDAY(A158,2),"月","火","水","木","金","土","日"))</f>
        <v/>
      </c>
      <c r="O158" s="5" t="str">
        <f aca="false">IF(B158="","",IF(HOUR(B158)&lt;6,"深夜(0-5時)",IF(HOUR(B158)&lt;11,"朝(6-10時)",IF(HOUR(B158)&lt;15,"昼(11-14時)",IF(HOUR(B158)&lt;19,"夕方(15-18時)","夜(19-23時)")))))</f>
        <v/>
      </c>
      <c r="P158" s="32" t="str">
        <f aca="false">IF(M158="","",M158+ROW()/1000000000)</f>
        <v/>
      </c>
    </row>
    <row r="159" customFormat="false" ht="15" hidden="false" customHeight="false" outlineLevel="0" collapsed="false">
      <c r="A159" s="25"/>
      <c r="B159" s="26"/>
      <c r="C159" s="27"/>
      <c r="D159" s="28"/>
      <c r="E159" s="28"/>
      <c r="F159" s="29"/>
      <c r="G159" s="29"/>
      <c r="H159" s="29"/>
      <c r="I159" s="29"/>
      <c r="J159" s="29"/>
      <c r="K159" s="29"/>
      <c r="L159" s="30" t="str">
        <f aca="false">IF(A159="","",SUM(G159:K159))</f>
        <v/>
      </c>
      <c r="M159" s="31" t="str">
        <f aca="false">IF(A159="","",IF(F159=0,0,L159/F159))</f>
        <v/>
      </c>
      <c r="N159" s="5" t="str">
        <f aca="false">IF(A159="","",CHOOSE(WEEKDAY(A159,2),"月","火","水","木","金","土","日"))</f>
        <v/>
      </c>
      <c r="O159" s="5" t="str">
        <f aca="false">IF(B159="","",IF(HOUR(B159)&lt;6,"深夜(0-5時)",IF(HOUR(B159)&lt;11,"朝(6-10時)",IF(HOUR(B159)&lt;15,"昼(11-14時)",IF(HOUR(B159)&lt;19,"夕方(15-18時)","夜(19-23時)")))))</f>
        <v/>
      </c>
      <c r="P159" s="32" t="str">
        <f aca="false">IF(M159="","",M159+ROW()/1000000000)</f>
        <v/>
      </c>
    </row>
    <row r="160" customFormat="false" ht="15" hidden="false" customHeight="false" outlineLevel="0" collapsed="false">
      <c r="A160" s="25"/>
      <c r="B160" s="26"/>
      <c r="C160" s="27"/>
      <c r="D160" s="28"/>
      <c r="E160" s="28"/>
      <c r="F160" s="29"/>
      <c r="G160" s="29"/>
      <c r="H160" s="29"/>
      <c r="I160" s="29"/>
      <c r="J160" s="29"/>
      <c r="K160" s="29"/>
      <c r="L160" s="30" t="str">
        <f aca="false">IF(A160="","",SUM(G160:K160))</f>
        <v/>
      </c>
      <c r="M160" s="31" t="str">
        <f aca="false">IF(A160="","",IF(F160=0,0,L160/F160))</f>
        <v/>
      </c>
      <c r="N160" s="5" t="str">
        <f aca="false">IF(A160="","",CHOOSE(WEEKDAY(A160,2),"月","火","水","木","金","土","日"))</f>
        <v/>
      </c>
      <c r="O160" s="5" t="str">
        <f aca="false">IF(B160="","",IF(HOUR(B160)&lt;6,"深夜(0-5時)",IF(HOUR(B160)&lt;11,"朝(6-10時)",IF(HOUR(B160)&lt;15,"昼(11-14時)",IF(HOUR(B160)&lt;19,"夕方(15-18時)","夜(19-23時)")))))</f>
        <v/>
      </c>
      <c r="P160" s="32" t="str">
        <f aca="false">IF(M160="","",M160+ROW()/1000000000)</f>
        <v/>
      </c>
    </row>
    <row r="161" customFormat="false" ht="15" hidden="false" customHeight="false" outlineLevel="0" collapsed="false">
      <c r="A161" s="25"/>
      <c r="B161" s="26"/>
      <c r="C161" s="27"/>
      <c r="D161" s="28"/>
      <c r="E161" s="28"/>
      <c r="F161" s="29"/>
      <c r="G161" s="29"/>
      <c r="H161" s="29"/>
      <c r="I161" s="29"/>
      <c r="J161" s="29"/>
      <c r="K161" s="29"/>
      <c r="L161" s="30" t="str">
        <f aca="false">IF(A161="","",SUM(G161:K161))</f>
        <v/>
      </c>
      <c r="M161" s="31" t="str">
        <f aca="false">IF(A161="","",IF(F161=0,0,L161/F161))</f>
        <v/>
      </c>
      <c r="N161" s="5" t="str">
        <f aca="false">IF(A161="","",CHOOSE(WEEKDAY(A161,2),"月","火","水","木","金","土","日"))</f>
        <v/>
      </c>
      <c r="O161" s="5" t="str">
        <f aca="false">IF(B161="","",IF(HOUR(B161)&lt;6,"深夜(0-5時)",IF(HOUR(B161)&lt;11,"朝(6-10時)",IF(HOUR(B161)&lt;15,"昼(11-14時)",IF(HOUR(B161)&lt;19,"夕方(15-18時)","夜(19-23時)")))))</f>
        <v/>
      </c>
      <c r="P161" s="32" t="str">
        <f aca="false">IF(M161="","",M161+ROW()/1000000000)</f>
        <v/>
      </c>
    </row>
    <row r="162" customFormat="false" ht="15" hidden="false" customHeight="false" outlineLevel="0" collapsed="false">
      <c r="A162" s="25"/>
      <c r="B162" s="26"/>
      <c r="C162" s="27"/>
      <c r="D162" s="28"/>
      <c r="E162" s="28"/>
      <c r="F162" s="29"/>
      <c r="G162" s="29"/>
      <c r="H162" s="29"/>
      <c r="I162" s="29"/>
      <c r="J162" s="29"/>
      <c r="K162" s="29"/>
      <c r="L162" s="30" t="str">
        <f aca="false">IF(A162="","",SUM(G162:K162))</f>
        <v/>
      </c>
      <c r="M162" s="31" t="str">
        <f aca="false">IF(A162="","",IF(F162=0,0,L162/F162))</f>
        <v/>
      </c>
      <c r="N162" s="5" t="str">
        <f aca="false">IF(A162="","",CHOOSE(WEEKDAY(A162,2),"月","火","水","木","金","土","日"))</f>
        <v/>
      </c>
      <c r="O162" s="5" t="str">
        <f aca="false">IF(B162="","",IF(HOUR(B162)&lt;6,"深夜(0-5時)",IF(HOUR(B162)&lt;11,"朝(6-10時)",IF(HOUR(B162)&lt;15,"昼(11-14時)",IF(HOUR(B162)&lt;19,"夕方(15-18時)","夜(19-23時)")))))</f>
        <v/>
      </c>
      <c r="P162" s="32" t="str">
        <f aca="false">IF(M162="","",M162+ROW()/1000000000)</f>
        <v/>
      </c>
    </row>
    <row r="163" customFormat="false" ht="15" hidden="false" customHeight="false" outlineLevel="0" collapsed="false">
      <c r="A163" s="25"/>
      <c r="B163" s="26"/>
      <c r="C163" s="27"/>
      <c r="D163" s="28"/>
      <c r="E163" s="28"/>
      <c r="F163" s="29"/>
      <c r="G163" s="29"/>
      <c r="H163" s="29"/>
      <c r="I163" s="29"/>
      <c r="J163" s="29"/>
      <c r="K163" s="29"/>
      <c r="L163" s="30" t="str">
        <f aca="false">IF(A163="","",SUM(G163:K163))</f>
        <v/>
      </c>
      <c r="M163" s="31" t="str">
        <f aca="false">IF(A163="","",IF(F163=0,0,L163/F163))</f>
        <v/>
      </c>
      <c r="N163" s="5" t="str">
        <f aca="false">IF(A163="","",CHOOSE(WEEKDAY(A163,2),"月","火","水","木","金","土","日"))</f>
        <v/>
      </c>
      <c r="O163" s="5" t="str">
        <f aca="false">IF(B163="","",IF(HOUR(B163)&lt;6,"深夜(0-5時)",IF(HOUR(B163)&lt;11,"朝(6-10時)",IF(HOUR(B163)&lt;15,"昼(11-14時)",IF(HOUR(B163)&lt;19,"夕方(15-18時)","夜(19-23時)")))))</f>
        <v/>
      </c>
      <c r="P163" s="32" t="str">
        <f aca="false">IF(M163="","",M163+ROW()/1000000000)</f>
        <v/>
      </c>
    </row>
    <row r="164" customFormat="false" ht="15" hidden="false" customHeight="false" outlineLevel="0" collapsed="false">
      <c r="A164" s="25"/>
      <c r="B164" s="26"/>
      <c r="C164" s="27"/>
      <c r="D164" s="28"/>
      <c r="E164" s="28"/>
      <c r="F164" s="29"/>
      <c r="G164" s="29"/>
      <c r="H164" s="29"/>
      <c r="I164" s="29"/>
      <c r="J164" s="29"/>
      <c r="K164" s="29"/>
      <c r="L164" s="30" t="str">
        <f aca="false">IF(A164="","",SUM(G164:K164))</f>
        <v/>
      </c>
      <c r="M164" s="31" t="str">
        <f aca="false">IF(A164="","",IF(F164=0,0,L164/F164))</f>
        <v/>
      </c>
      <c r="N164" s="5" t="str">
        <f aca="false">IF(A164="","",CHOOSE(WEEKDAY(A164,2),"月","火","水","木","金","土","日"))</f>
        <v/>
      </c>
      <c r="O164" s="5" t="str">
        <f aca="false">IF(B164="","",IF(HOUR(B164)&lt;6,"深夜(0-5時)",IF(HOUR(B164)&lt;11,"朝(6-10時)",IF(HOUR(B164)&lt;15,"昼(11-14時)",IF(HOUR(B164)&lt;19,"夕方(15-18時)","夜(19-23時)")))))</f>
        <v/>
      </c>
      <c r="P164" s="32" t="str">
        <f aca="false">IF(M164="","",M164+ROW()/1000000000)</f>
        <v/>
      </c>
    </row>
    <row r="165" customFormat="false" ht="15" hidden="false" customHeight="false" outlineLevel="0" collapsed="false">
      <c r="A165" s="25"/>
      <c r="B165" s="26"/>
      <c r="C165" s="27"/>
      <c r="D165" s="28"/>
      <c r="E165" s="28"/>
      <c r="F165" s="29"/>
      <c r="G165" s="29"/>
      <c r="H165" s="29"/>
      <c r="I165" s="29"/>
      <c r="J165" s="29"/>
      <c r="K165" s="29"/>
      <c r="L165" s="30" t="str">
        <f aca="false">IF(A165="","",SUM(G165:K165))</f>
        <v/>
      </c>
      <c r="M165" s="31" t="str">
        <f aca="false">IF(A165="","",IF(F165=0,0,L165/F165))</f>
        <v/>
      </c>
      <c r="N165" s="5" t="str">
        <f aca="false">IF(A165="","",CHOOSE(WEEKDAY(A165,2),"月","火","水","木","金","土","日"))</f>
        <v/>
      </c>
      <c r="O165" s="5" t="str">
        <f aca="false">IF(B165="","",IF(HOUR(B165)&lt;6,"深夜(0-5時)",IF(HOUR(B165)&lt;11,"朝(6-10時)",IF(HOUR(B165)&lt;15,"昼(11-14時)",IF(HOUR(B165)&lt;19,"夕方(15-18時)","夜(19-23時)")))))</f>
        <v/>
      </c>
      <c r="P165" s="32" t="str">
        <f aca="false">IF(M165="","",M165+ROW()/1000000000)</f>
        <v/>
      </c>
    </row>
    <row r="166" customFormat="false" ht="15" hidden="false" customHeight="false" outlineLevel="0" collapsed="false">
      <c r="A166" s="25"/>
      <c r="B166" s="26"/>
      <c r="C166" s="27"/>
      <c r="D166" s="28"/>
      <c r="E166" s="28"/>
      <c r="F166" s="29"/>
      <c r="G166" s="29"/>
      <c r="H166" s="29"/>
      <c r="I166" s="29"/>
      <c r="J166" s="29"/>
      <c r="K166" s="29"/>
      <c r="L166" s="30" t="str">
        <f aca="false">IF(A166="","",SUM(G166:K166))</f>
        <v/>
      </c>
      <c r="M166" s="31" t="str">
        <f aca="false">IF(A166="","",IF(F166=0,0,L166/F166))</f>
        <v/>
      </c>
      <c r="N166" s="5" t="str">
        <f aca="false">IF(A166="","",CHOOSE(WEEKDAY(A166,2),"月","火","水","木","金","土","日"))</f>
        <v/>
      </c>
      <c r="O166" s="5" t="str">
        <f aca="false">IF(B166="","",IF(HOUR(B166)&lt;6,"深夜(0-5時)",IF(HOUR(B166)&lt;11,"朝(6-10時)",IF(HOUR(B166)&lt;15,"昼(11-14時)",IF(HOUR(B166)&lt;19,"夕方(15-18時)","夜(19-23時)")))))</f>
        <v/>
      </c>
      <c r="P166" s="32" t="str">
        <f aca="false">IF(M166="","",M166+ROW()/1000000000)</f>
        <v/>
      </c>
    </row>
    <row r="167" customFormat="false" ht="15" hidden="false" customHeight="false" outlineLevel="0" collapsed="false">
      <c r="A167" s="25"/>
      <c r="B167" s="26"/>
      <c r="C167" s="27"/>
      <c r="D167" s="28"/>
      <c r="E167" s="28"/>
      <c r="F167" s="29"/>
      <c r="G167" s="29"/>
      <c r="H167" s="29"/>
      <c r="I167" s="29"/>
      <c r="J167" s="29"/>
      <c r="K167" s="29"/>
      <c r="L167" s="30" t="str">
        <f aca="false">IF(A167="","",SUM(G167:K167))</f>
        <v/>
      </c>
      <c r="M167" s="31" t="str">
        <f aca="false">IF(A167="","",IF(F167=0,0,L167/F167))</f>
        <v/>
      </c>
      <c r="N167" s="5" t="str">
        <f aca="false">IF(A167="","",CHOOSE(WEEKDAY(A167,2),"月","火","水","木","金","土","日"))</f>
        <v/>
      </c>
      <c r="O167" s="5" t="str">
        <f aca="false">IF(B167="","",IF(HOUR(B167)&lt;6,"深夜(0-5時)",IF(HOUR(B167)&lt;11,"朝(6-10時)",IF(HOUR(B167)&lt;15,"昼(11-14時)",IF(HOUR(B167)&lt;19,"夕方(15-18時)","夜(19-23時)")))))</f>
        <v/>
      </c>
      <c r="P167" s="32" t="str">
        <f aca="false">IF(M167="","",M167+ROW()/1000000000)</f>
        <v/>
      </c>
    </row>
    <row r="168" customFormat="false" ht="15" hidden="false" customHeight="false" outlineLevel="0" collapsed="false">
      <c r="A168" s="25"/>
      <c r="B168" s="26"/>
      <c r="C168" s="27"/>
      <c r="D168" s="28"/>
      <c r="E168" s="28"/>
      <c r="F168" s="29"/>
      <c r="G168" s="29"/>
      <c r="H168" s="29"/>
      <c r="I168" s="29"/>
      <c r="J168" s="29"/>
      <c r="K168" s="29"/>
      <c r="L168" s="30" t="str">
        <f aca="false">IF(A168="","",SUM(G168:K168))</f>
        <v/>
      </c>
      <c r="M168" s="31" t="str">
        <f aca="false">IF(A168="","",IF(F168=0,0,L168/F168))</f>
        <v/>
      </c>
      <c r="N168" s="5" t="str">
        <f aca="false">IF(A168="","",CHOOSE(WEEKDAY(A168,2),"月","火","水","木","金","土","日"))</f>
        <v/>
      </c>
      <c r="O168" s="5" t="str">
        <f aca="false">IF(B168="","",IF(HOUR(B168)&lt;6,"深夜(0-5時)",IF(HOUR(B168)&lt;11,"朝(6-10時)",IF(HOUR(B168)&lt;15,"昼(11-14時)",IF(HOUR(B168)&lt;19,"夕方(15-18時)","夜(19-23時)")))))</f>
        <v/>
      </c>
      <c r="P168" s="32" t="str">
        <f aca="false">IF(M168="","",M168+ROW()/1000000000)</f>
        <v/>
      </c>
    </row>
    <row r="169" customFormat="false" ht="15" hidden="false" customHeight="false" outlineLevel="0" collapsed="false">
      <c r="A169" s="25"/>
      <c r="B169" s="26"/>
      <c r="C169" s="27"/>
      <c r="D169" s="28"/>
      <c r="E169" s="28"/>
      <c r="F169" s="29"/>
      <c r="G169" s="29"/>
      <c r="H169" s="29"/>
      <c r="I169" s="29"/>
      <c r="J169" s="29"/>
      <c r="K169" s="29"/>
      <c r="L169" s="30" t="str">
        <f aca="false">IF(A169="","",SUM(G169:K169))</f>
        <v/>
      </c>
      <c r="M169" s="31" t="str">
        <f aca="false">IF(A169="","",IF(F169=0,0,L169/F169))</f>
        <v/>
      </c>
      <c r="N169" s="5" t="str">
        <f aca="false">IF(A169="","",CHOOSE(WEEKDAY(A169,2),"月","火","水","木","金","土","日"))</f>
        <v/>
      </c>
      <c r="O169" s="5" t="str">
        <f aca="false">IF(B169="","",IF(HOUR(B169)&lt;6,"深夜(0-5時)",IF(HOUR(B169)&lt;11,"朝(6-10時)",IF(HOUR(B169)&lt;15,"昼(11-14時)",IF(HOUR(B169)&lt;19,"夕方(15-18時)","夜(19-23時)")))))</f>
        <v/>
      </c>
      <c r="P169" s="32" t="str">
        <f aca="false">IF(M169="","",M169+ROW()/1000000000)</f>
        <v/>
      </c>
    </row>
    <row r="170" customFormat="false" ht="15" hidden="false" customHeight="false" outlineLevel="0" collapsed="false">
      <c r="A170" s="25"/>
      <c r="B170" s="26"/>
      <c r="C170" s="27"/>
      <c r="D170" s="28"/>
      <c r="E170" s="28"/>
      <c r="F170" s="29"/>
      <c r="G170" s="29"/>
      <c r="H170" s="29"/>
      <c r="I170" s="29"/>
      <c r="J170" s="29"/>
      <c r="K170" s="29"/>
      <c r="L170" s="30" t="str">
        <f aca="false">IF(A170="","",SUM(G170:K170))</f>
        <v/>
      </c>
      <c r="M170" s="31" t="str">
        <f aca="false">IF(A170="","",IF(F170=0,0,L170/F170))</f>
        <v/>
      </c>
      <c r="N170" s="5" t="str">
        <f aca="false">IF(A170="","",CHOOSE(WEEKDAY(A170,2),"月","火","水","木","金","土","日"))</f>
        <v/>
      </c>
      <c r="O170" s="5" t="str">
        <f aca="false">IF(B170="","",IF(HOUR(B170)&lt;6,"深夜(0-5時)",IF(HOUR(B170)&lt;11,"朝(6-10時)",IF(HOUR(B170)&lt;15,"昼(11-14時)",IF(HOUR(B170)&lt;19,"夕方(15-18時)","夜(19-23時)")))))</f>
        <v/>
      </c>
      <c r="P170" s="32" t="str">
        <f aca="false">IF(M170="","",M170+ROW()/1000000000)</f>
        <v/>
      </c>
    </row>
    <row r="171" customFormat="false" ht="15" hidden="false" customHeight="false" outlineLevel="0" collapsed="false">
      <c r="A171" s="25"/>
      <c r="B171" s="26"/>
      <c r="C171" s="27"/>
      <c r="D171" s="28"/>
      <c r="E171" s="28"/>
      <c r="F171" s="29"/>
      <c r="G171" s="29"/>
      <c r="H171" s="29"/>
      <c r="I171" s="29"/>
      <c r="J171" s="29"/>
      <c r="K171" s="29"/>
      <c r="L171" s="30" t="str">
        <f aca="false">IF(A171="","",SUM(G171:K171))</f>
        <v/>
      </c>
      <c r="M171" s="31" t="str">
        <f aca="false">IF(A171="","",IF(F171=0,0,L171/F171))</f>
        <v/>
      </c>
      <c r="N171" s="5" t="str">
        <f aca="false">IF(A171="","",CHOOSE(WEEKDAY(A171,2),"月","火","水","木","金","土","日"))</f>
        <v/>
      </c>
      <c r="O171" s="5" t="str">
        <f aca="false">IF(B171="","",IF(HOUR(B171)&lt;6,"深夜(0-5時)",IF(HOUR(B171)&lt;11,"朝(6-10時)",IF(HOUR(B171)&lt;15,"昼(11-14時)",IF(HOUR(B171)&lt;19,"夕方(15-18時)","夜(19-23時)")))))</f>
        <v/>
      </c>
      <c r="P171" s="32" t="str">
        <f aca="false">IF(M171="","",M171+ROW()/1000000000)</f>
        <v/>
      </c>
    </row>
    <row r="172" customFormat="false" ht="15" hidden="false" customHeight="false" outlineLevel="0" collapsed="false">
      <c r="A172" s="25"/>
      <c r="B172" s="26"/>
      <c r="C172" s="27"/>
      <c r="D172" s="28"/>
      <c r="E172" s="28"/>
      <c r="F172" s="29"/>
      <c r="G172" s="29"/>
      <c r="H172" s="29"/>
      <c r="I172" s="29"/>
      <c r="J172" s="29"/>
      <c r="K172" s="29"/>
      <c r="L172" s="30" t="str">
        <f aca="false">IF(A172="","",SUM(G172:K172))</f>
        <v/>
      </c>
      <c r="M172" s="31" t="str">
        <f aca="false">IF(A172="","",IF(F172=0,0,L172/F172))</f>
        <v/>
      </c>
      <c r="N172" s="5" t="str">
        <f aca="false">IF(A172="","",CHOOSE(WEEKDAY(A172,2),"月","火","水","木","金","土","日"))</f>
        <v/>
      </c>
      <c r="O172" s="5" t="str">
        <f aca="false">IF(B172="","",IF(HOUR(B172)&lt;6,"深夜(0-5時)",IF(HOUR(B172)&lt;11,"朝(6-10時)",IF(HOUR(B172)&lt;15,"昼(11-14時)",IF(HOUR(B172)&lt;19,"夕方(15-18時)","夜(19-23時)")))))</f>
        <v/>
      </c>
      <c r="P172" s="32" t="str">
        <f aca="false">IF(M172="","",M172+ROW()/1000000000)</f>
        <v/>
      </c>
    </row>
    <row r="173" customFormat="false" ht="15" hidden="false" customHeight="false" outlineLevel="0" collapsed="false">
      <c r="A173" s="25"/>
      <c r="B173" s="26"/>
      <c r="C173" s="27"/>
      <c r="D173" s="28"/>
      <c r="E173" s="28"/>
      <c r="F173" s="29"/>
      <c r="G173" s="29"/>
      <c r="H173" s="29"/>
      <c r="I173" s="29"/>
      <c r="J173" s="29"/>
      <c r="K173" s="29"/>
      <c r="L173" s="30" t="str">
        <f aca="false">IF(A173="","",SUM(G173:K173))</f>
        <v/>
      </c>
      <c r="M173" s="31" t="str">
        <f aca="false">IF(A173="","",IF(F173=0,0,L173/F173))</f>
        <v/>
      </c>
      <c r="N173" s="5" t="str">
        <f aca="false">IF(A173="","",CHOOSE(WEEKDAY(A173,2),"月","火","水","木","金","土","日"))</f>
        <v/>
      </c>
      <c r="O173" s="5" t="str">
        <f aca="false">IF(B173="","",IF(HOUR(B173)&lt;6,"深夜(0-5時)",IF(HOUR(B173)&lt;11,"朝(6-10時)",IF(HOUR(B173)&lt;15,"昼(11-14時)",IF(HOUR(B173)&lt;19,"夕方(15-18時)","夜(19-23時)")))))</f>
        <v/>
      </c>
      <c r="P173" s="32" t="str">
        <f aca="false">IF(M173="","",M173+ROW()/1000000000)</f>
        <v/>
      </c>
    </row>
    <row r="174" customFormat="false" ht="15" hidden="false" customHeight="false" outlineLevel="0" collapsed="false">
      <c r="A174" s="25"/>
      <c r="B174" s="26"/>
      <c r="C174" s="27"/>
      <c r="D174" s="28"/>
      <c r="E174" s="28"/>
      <c r="F174" s="29"/>
      <c r="G174" s="29"/>
      <c r="H174" s="29"/>
      <c r="I174" s="29"/>
      <c r="J174" s="29"/>
      <c r="K174" s="29"/>
      <c r="L174" s="30" t="str">
        <f aca="false">IF(A174="","",SUM(G174:K174))</f>
        <v/>
      </c>
      <c r="M174" s="31" t="str">
        <f aca="false">IF(A174="","",IF(F174=0,0,L174/F174))</f>
        <v/>
      </c>
      <c r="N174" s="5" t="str">
        <f aca="false">IF(A174="","",CHOOSE(WEEKDAY(A174,2),"月","火","水","木","金","土","日"))</f>
        <v/>
      </c>
      <c r="O174" s="5" t="str">
        <f aca="false">IF(B174="","",IF(HOUR(B174)&lt;6,"深夜(0-5時)",IF(HOUR(B174)&lt;11,"朝(6-10時)",IF(HOUR(B174)&lt;15,"昼(11-14時)",IF(HOUR(B174)&lt;19,"夕方(15-18時)","夜(19-23時)")))))</f>
        <v/>
      </c>
      <c r="P174" s="32" t="str">
        <f aca="false">IF(M174="","",M174+ROW()/1000000000)</f>
        <v/>
      </c>
    </row>
    <row r="175" customFormat="false" ht="15" hidden="false" customHeight="false" outlineLevel="0" collapsed="false">
      <c r="A175" s="25"/>
      <c r="B175" s="26"/>
      <c r="C175" s="27"/>
      <c r="D175" s="28"/>
      <c r="E175" s="28"/>
      <c r="F175" s="29"/>
      <c r="G175" s="29"/>
      <c r="H175" s="29"/>
      <c r="I175" s="29"/>
      <c r="J175" s="29"/>
      <c r="K175" s="29"/>
      <c r="L175" s="30" t="str">
        <f aca="false">IF(A175="","",SUM(G175:K175))</f>
        <v/>
      </c>
      <c r="M175" s="31" t="str">
        <f aca="false">IF(A175="","",IF(F175=0,0,L175/F175))</f>
        <v/>
      </c>
      <c r="N175" s="5" t="str">
        <f aca="false">IF(A175="","",CHOOSE(WEEKDAY(A175,2),"月","火","水","木","金","土","日"))</f>
        <v/>
      </c>
      <c r="O175" s="5" t="str">
        <f aca="false">IF(B175="","",IF(HOUR(B175)&lt;6,"深夜(0-5時)",IF(HOUR(B175)&lt;11,"朝(6-10時)",IF(HOUR(B175)&lt;15,"昼(11-14時)",IF(HOUR(B175)&lt;19,"夕方(15-18時)","夜(19-23時)")))))</f>
        <v/>
      </c>
      <c r="P175" s="32" t="str">
        <f aca="false">IF(M175="","",M175+ROW()/1000000000)</f>
        <v/>
      </c>
    </row>
    <row r="176" customFormat="false" ht="15" hidden="false" customHeight="false" outlineLevel="0" collapsed="false">
      <c r="A176" s="25"/>
      <c r="B176" s="26"/>
      <c r="C176" s="27"/>
      <c r="D176" s="28"/>
      <c r="E176" s="28"/>
      <c r="F176" s="29"/>
      <c r="G176" s="29"/>
      <c r="H176" s="29"/>
      <c r="I176" s="29"/>
      <c r="J176" s="29"/>
      <c r="K176" s="29"/>
      <c r="L176" s="30" t="str">
        <f aca="false">IF(A176="","",SUM(G176:K176))</f>
        <v/>
      </c>
      <c r="M176" s="31" t="str">
        <f aca="false">IF(A176="","",IF(F176=0,0,L176/F176))</f>
        <v/>
      </c>
      <c r="N176" s="5" t="str">
        <f aca="false">IF(A176="","",CHOOSE(WEEKDAY(A176,2),"月","火","水","木","金","土","日"))</f>
        <v/>
      </c>
      <c r="O176" s="5" t="str">
        <f aca="false">IF(B176="","",IF(HOUR(B176)&lt;6,"深夜(0-5時)",IF(HOUR(B176)&lt;11,"朝(6-10時)",IF(HOUR(B176)&lt;15,"昼(11-14時)",IF(HOUR(B176)&lt;19,"夕方(15-18時)","夜(19-23時)")))))</f>
        <v/>
      </c>
      <c r="P176" s="32" t="str">
        <f aca="false">IF(M176="","",M176+ROW()/1000000000)</f>
        <v/>
      </c>
    </row>
    <row r="177" customFormat="false" ht="15" hidden="false" customHeight="false" outlineLevel="0" collapsed="false">
      <c r="A177" s="25"/>
      <c r="B177" s="26"/>
      <c r="C177" s="27"/>
      <c r="D177" s="28"/>
      <c r="E177" s="28"/>
      <c r="F177" s="29"/>
      <c r="G177" s="29"/>
      <c r="H177" s="29"/>
      <c r="I177" s="29"/>
      <c r="J177" s="29"/>
      <c r="K177" s="29"/>
      <c r="L177" s="30" t="str">
        <f aca="false">IF(A177="","",SUM(G177:K177))</f>
        <v/>
      </c>
      <c r="M177" s="31" t="str">
        <f aca="false">IF(A177="","",IF(F177=0,0,L177/F177))</f>
        <v/>
      </c>
      <c r="N177" s="5" t="str">
        <f aca="false">IF(A177="","",CHOOSE(WEEKDAY(A177,2),"月","火","水","木","金","土","日"))</f>
        <v/>
      </c>
      <c r="O177" s="5" t="str">
        <f aca="false">IF(B177="","",IF(HOUR(B177)&lt;6,"深夜(0-5時)",IF(HOUR(B177)&lt;11,"朝(6-10時)",IF(HOUR(B177)&lt;15,"昼(11-14時)",IF(HOUR(B177)&lt;19,"夕方(15-18時)","夜(19-23時)")))))</f>
        <v/>
      </c>
      <c r="P177" s="32" t="str">
        <f aca="false">IF(M177="","",M177+ROW()/1000000000)</f>
        <v/>
      </c>
    </row>
    <row r="178" customFormat="false" ht="15" hidden="false" customHeight="false" outlineLevel="0" collapsed="false">
      <c r="A178" s="25"/>
      <c r="B178" s="26"/>
      <c r="C178" s="27"/>
      <c r="D178" s="28"/>
      <c r="E178" s="28"/>
      <c r="F178" s="29"/>
      <c r="G178" s="29"/>
      <c r="H178" s="29"/>
      <c r="I178" s="29"/>
      <c r="J178" s="29"/>
      <c r="K178" s="29"/>
      <c r="L178" s="30" t="str">
        <f aca="false">IF(A178="","",SUM(G178:K178))</f>
        <v/>
      </c>
      <c r="M178" s="31" t="str">
        <f aca="false">IF(A178="","",IF(F178=0,0,L178/F178))</f>
        <v/>
      </c>
      <c r="N178" s="5" t="str">
        <f aca="false">IF(A178="","",CHOOSE(WEEKDAY(A178,2),"月","火","水","木","金","土","日"))</f>
        <v/>
      </c>
      <c r="O178" s="5" t="str">
        <f aca="false">IF(B178="","",IF(HOUR(B178)&lt;6,"深夜(0-5時)",IF(HOUR(B178)&lt;11,"朝(6-10時)",IF(HOUR(B178)&lt;15,"昼(11-14時)",IF(HOUR(B178)&lt;19,"夕方(15-18時)","夜(19-23時)")))))</f>
        <v/>
      </c>
      <c r="P178" s="32" t="str">
        <f aca="false">IF(M178="","",M178+ROW()/1000000000)</f>
        <v/>
      </c>
    </row>
    <row r="179" customFormat="false" ht="15" hidden="false" customHeight="false" outlineLevel="0" collapsed="false">
      <c r="A179" s="25"/>
      <c r="B179" s="26"/>
      <c r="C179" s="27"/>
      <c r="D179" s="28"/>
      <c r="E179" s="28"/>
      <c r="F179" s="29"/>
      <c r="G179" s="29"/>
      <c r="H179" s="29"/>
      <c r="I179" s="29"/>
      <c r="J179" s="29"/>
      <c r="K179" s="29"/>
      <c r="L179" s="30" t="str">
        <f aca="false">IF(A179="","",SUM(G179:K179))</f>
        <v/>
      </c>
      <c r="M179" s="31" t="str">
        <f aca="false">IF(A179="","",IF(F179=0,0,L179/F179))</f>
        <v/>
      </c>
      <c r="N179" s="5" t="str">
        <f aca="false">IF(A179="","",CHOOSE(WEEKDAY(A179,2),"月","火","水","木","金","土","日"))</f>
        <v/>
      </c>
      <c r="O179" s="5" t="str">
        <f aca="false">IF(B179="","",IF(HOUR(B179)&lt;6,"深夜(0-5時)",IF(HOUR(B179)&lt;11,"朝(6-10時)",IF(HOUR(B179)&lt;15,"昼(11-14時)",IF(HOUR(B179)&lt;19,"夕方(15-18時)","夜(19-23時)")))))</f>
        <v/>
      </c>
      <c r="P179" s="32" t="str">
        <f aca="false">IF(M179="","",M179+ROW()/1000000000)</f>
        <v/>
      </c>
    </row>
    <row r="180" customFormat="false" ht="15" hidden="false" customHeight="false" outlineLevel="0" collapsed="false">
      <c r="A180" s="25"/>
      <c r="B180" s="26"/>
      <c r="C180" s="27"/>
      <c r="D180" s="28"/>
      <c r="E180" s="28"/>
      <c r="F180" s="29"/>
      <c r="G180" s="29"/>
      <c r="H180" s="29"/>
      <c r="I180" s="29"/>
      <c r="J180" s="29"/>
      <c r="K180" s="29"/>
      <c r="L180" s="30" t="str">
        <f aca="false">IF(A180="","",SUM(G180:K180))</f>
        <v/>
      </c>
      <c r="M180" s="31" t="str">
        <f aca="false">IF(A180="","",IF(F180=0,0,L180/F180))</f>
        <v/>
      </c>
      <c r="N180" s="5" t="str">
        <f aca="false">IF(A180="","",CHOOSE(WEEKDAY(A180,2),"月","火","水","木","金","土","日"))</f>
        <v/>
      </c>
      <c r="O180" s="5" t="str">
        <f aca="false">IF(B180="","",IF(HOUR(B180)&lt;6,"深夜(0-5時)",IF(HOUR(B180)&lt;11,"朝(6-10時)",IF(HOUR(B180)&lt;15,"昼(11-14時)",IF(HOUR(B180)&lt;19,"夕方(15-18時)","夜(19-23時)")))))</f>
        <v/>
      </c>
      <c r="P180" s="32" t="str">
        <f aca="false">IF(M180="","",M180+ROW()/1000000000)</f>
        <v/>
      </c>
    </row>
    <row r="181" customFormat="false" ht="15" hidden="false" customHeight="false" outlineLevel="0" collapsed="false">
      <c r="A181" s="25"/>
      <c r="B181" s="26"/>
      <c r="C181" s="27"/>
      <c r="D181" s="28"/>
      <c r="E181" s="28"/>
      <c r="F181" s="29"/>
      <c r="G181" s="29"/>
      <c r="H181" s="29"/>
      <c r="I181" s="29"/>
      <c r="J181" s="29"/>
      <c r="K181" s="29"/>
      <c r="L181" s="30" t="str">
        <f aca="false">IF(A181="","",SUM(G181:K181))</f>
        <v/>
      </c>
      <c r="M181" s="31" t="str">
        <f aca="false">IF(A181="","",IF(F181=0,0,L181/F181))</f>
        <v/>
      </c>
      <c r="N181" s="5" t="str">
        <f aca="false">IF(A181="","",CHOOSE(WEEKDAY(A181,2),"月","火","水","木","金","土","日"))</f>
        <v/>
      </c>
      <c r="O181" s="5" t="str">
        <f aca="false">IF(B181="","",IF(HOUR(B181)&lt;6,"深夜(0-5時)",IF(HOUR(B181)&lt;11,"朝(6-10時)",IF(HOUR(B181)&lt;15,"昼(11-14時)",IF(HOUR(B181)&lt;19,"夕方(15-18時)","夜(19-23時)")))))</f>
        <v/>
      </c>
      <c r="P181" s="32" t="str">
        <f aca="false">IF(M181="","",M181+ROW()/1000000000)</f>
        <v/>
      </c>
    </row>
    <row r="182" customFormat="false" ht="15" hidden="false" customHeight="false" outlineLevel="0" collapsed="false">
      <c r="A182" s="25"/>
      <c r="B182" s="26"/>
      <c r="C182" s="27"/>
      <c r="D182" s="28"/>
      <c r="E182" s="28"/>
      <c r="F182" s="29"/>
      <c r="G182" s="29"/>
      <c r="H182" s="29"/>
      <c r="I182" s="29"/>
      <c r="J182" s="29"/>
      <c r="K182" s="29"/>
      <c r="L182" s="30" t="str">
        <f aca="false">IF(A182="","",SUM(G182:K182))</f>
        <v/>
      </c>
      <c r="M182" s="31" t="str">
        <f aca="false">IF(A182="","",IF(F182=0,0,L182/F182))</f>
        <v/>
      </c>
      <c r="N182" s="5" t="str">
        <f aca="false">IF(A182="","",CHOOSE(WEEKDAY(A182,2),"月","火","水","木","金","土","日"))</f>
        <v/>
      </c>
      <c r="O182" s="5" t="str">
        <f aca="false">IF(B182="","",IF(HOUR(B182)&lt;6,"深夜(0-5時)",IF(HOUR(B182)&lt;11,"朝(6-10時)",IF(HOUR(B182)&lt;15,"昼(11-14時)",IF(HOUR(B182)&lt;19,"夕方(15-18時)","夜(19-23時)")))))</f>
        <v/>
      </c>
      <c r="P182" s="32" t="str">
        <f aca="false">IF(M182="","",M182+ROW()/1000000000)</f>
        <v/>
      </c>
    </row>
    <row r="183" customFormat="false" ht="15" hidden="false" customHeight="false" outlineLevel="0" collapsed="false">
      <c r="A183" s="25"/>
      <c r="B183" s="26"/>
      <c r="C183" s="27"/>
      <c r="D183" s="28"/>
      <c r="E183" s="28"/>
      <c r="F183" s="29"/>
      <c r="G183" s="29"/>
      <c r="H183" s="29"/>
      <c r="I183" s="29"/>
      <c r="J183" s="29"/>
      <c r="K183" s="29"/>
      <c r="L183" s="30" t="str">
        <f aca="false">IF(A183="","",SUM(G183:K183))</f>
        <v/>
      </c>
      <c r="M183" s="31" t="str">
        <f aca="false">IF(A183="","",IF(F183=0,0,L183/F183))</f>
        <v/>
      </c>
      <c r="N183" s="5" t="str">
        <f aca="false">IF(A183="","",CHOOSE(WEEKDAY(A183,2),"月","火","水","木","金","土","日"))</f>
        <v/>
      </c>
      <c r="O183" s="5" t="str">
        <f aca="false">IF(B183="","",IF(HOUR(B183)&lt;6,"深夜(0-5時)",IF(HOUR(B183)&lt;11,"朝(6-10時)",IF(HOUR(B183)&lt;15,"昼(11-14時)",IF(HOUR(B183)&lt;19,"夕方(15-18時)","夜(19-23時)")))))</f>
        <v/>
      </c>
      <c r="P183" s="32" t="str">
        <f aca="false">IF(M183="","",M183+ROW()/1000000000)</f>
        <v/>
      </c>
    </row>
    <row r="184" customFormat="false" ht="15" hidden="false" customHeight="false" outlineLevel="0" collapsed="false">
      <c r="A184" s="25"/>
      <c r="B184" s="26"/>
      <c r="C184" s="27"/>
      <c r="D184" s="28"/>
      <c r="E184" s="28"/>
      <c r="F184" s="29"/>
      <c r="G184" s="29"/>
      <c r="H184" s="29"/>
      <c r="I184" s="29"/>
      <c r="J184" s="29"/>
      <c r="K184" s="29"/>
      <c r="L184" s="30" t="str">
        <f aca="false">IF(A184="","",SUM(G184:K184))</f>
        <v/>
      </c>
      <c r="M184" s="31" t="str">
        <f aca="false">IF(A184="","",IF(F184=0,0,L184/F184))</f>
        <v/>
      </c>
      <c r="N184" s="5" t="str">
        <f aca="false">IF(A184="","",CHOOSE(WEEKDAY(A184,2),"月","火","水","木","金","土","日"))</f>
        <v/>
      </c>
      <c r="O184" s="5" t="str">
        <f aca="false">IF(B184="","",IF(HOUR(B184)&lt;6,"深夜(0-5時)",IF(HOUR(B184)&lt;11,"朝(6-10時)",IF(HOUR(B184)&lt;15,"昼(11-14時)",IF(HOUR(B184)&lt;19,"夕方(15-18時)","夜(19-23時)")))))</f>
        <v/>
      </c>
      <c r="P184" s="32" t="str">
        <f aca="false">IF(M184="","",M184+ROW()/1000000000)</f>
        <v/>
      </c>
    </row>
    <row r="185" customFormat="false" ht="15" hidden="false" customHeight="false" outlineLevel="0" collapsed="false">
      <c r="A185" s="25"/>
      <c r="B185" s="26"/>
      <c r="C185" s="27"/>
      <c r="D185" s="28"/>
      <c r="E185" s="28"/>
      <c r="F185" s="29"/>
      <c r="G185" s="29"/>
      <c r="H185" s="29"/>
      <c r="I185" s="29"/>
      <c r="J185" s="29"/>
      <c r="K185" s="29"/>
      <c r="L185" s="30" t="str">
        <f aca="false">IF(A185="","",SUM(G185:K185))</f>
        <v/>
      </c>
      <c r="M185" s="31" t="str">
        <f aca="false">IF(A185="","",IF(F185=0,0,L185/F185))</f>
        <v/>
      </c>
      <c r="N185" s="5" t="str">
        <f aca="false">IF(A185="","",CHOOSE(WEEKDAY(A185,2),"月","火","水","木","金","土","日"))</f>
        <v/>
      </c>
      <c r="O185" s="5" t="str">
        <f aca="false">IF(B185="","",IF(HOUR(B185)&lt;6,"深夜(0-5時)",IF(HOUR(B185)&lt;11,"朝(6-10時)",IF(HOUR(B185)&lt;15,"昼(11-14時)",IF(HOUR(B185)&lt;19,"夕方(15-18時)","夜(19-23時)")))))</f>
        <v/>
      </c>
      <c r="P185" s="32" t="str">
        <f aca="false">IF(M185="","",M185+ROW()/1000000000)</f>
        <v/>
      </c>
    </row>
    <row r="186" customFormat="false" ht="15" hidden="false" customHeight="false" outlineLevel="0" collapsed="false">
      <c r="A186" s="25"/>
      <c r="B186" s="26"/>
      <c r="C186" s="27"/>
      <c r="D186" s="28"/>
      <c r="E186" s="28"/>
      <c r="F186" s="29"/>
      <c r="G186" s="29"/>
      <c r="H186" s="29"/>
      <c r="I186" s="29"/>
      <c r="J186" s="29"/>
      <c r="K186" s="29"/>
      <c r="L186" s="30" t="str">
        <f aca="false">IF(A186="","",SUM(G186:K186))</f>
        <v/>
      </c>
      <c r="M186" s="31" t="str">
        <f aca="false">IF(A186="","",IF(F186=0,0,L186/F186))</f>
        <v/>
      </c>
      <c r="N186" s="5" t="str">
        <f aca="false">IF(A186="","",CHOOSE(WEEKDAY(A186,2),"月","火","水","木","金","土","日"))</f>
        <v/>
      </c>
      <c r="O186" s="5" t="str">
        <f aca="false">IF(B186="","",IF(HOUR(B186)&lt;6,"深夜(0-5時)",IF(HOUR(B186)&lt;11,"朝(6-10時)",IF(HOUR(B186)&lt;15,"昼(11-14時)",IF(HOUR(B186)&lt;19,"夕方(15-18時)","夜(19-23時)")))))</f>
        <v/>
      </c>
      <c r="P186" s="32" t="str">
        <f aca="false">IF(M186="","",M186+ROW()/1000000000)</f>
        <v/>
      </c>
    </row>
    <row r="187" customFormat="false" ht="15" hidden="false" customHeight="false" outlineLevel="0" collapsed="false">
      <c r="A187" s="25"/>
      <c r="B187" s="26"/>
      <c r="C187" s="27"/>
      <c r="D187" s="28"/>
      <c r="E187" s="28"/>
      <c r="F187" s="29"/>
      <c r="G187" s="29"/>
      <c r="H187" s="29"/>
      <c r="I187" s="29"/>
      <c r="J187" s="29"/>
      <c r="K187" s="29"/>
      <c r="L187" s="30" t="str">
        <f aca="false">IF(A187="","",SUM(G187:K187))</f>
        <v/>
      </c>
      <c r="M187" s="31" t="str">
        <f aca="false">IF(A187="","",IF(F187=0,0,L187/F187))</f>
        <v/>
      </c>
      <c r="N187" s="5" t="str">
        <f aca="false">IF(A187="","",CHOOSE(WEEKDAY(A187,2),"月","火","水","木","金","土","日"))</f>
        <v/>
      </c>
      <c r="O187" s="5" t="str">
        <f aca="false">IF(B187="","",IF(HOUR(B187)&lt;6,"深夜(0-5時)",IF(HOUR(B187)&lt;11,"朝(6-10時)",IF(HOUR(B187)&lt;15,"昼(11-14時)",IF(HOUR(B187)&lt;19,"夕方(15-18時)","夜(19-23時)")))))</f>
        <v/>
      </c>
      <c r="P187" s="32" t="str">
        <f aca="false">IF(M187="","",M187+ROW()/1000000000)</f>
        <v/>
      </c>
    </row>
    <row r="188" customFormat="false" ht="15" hidden="false" customHeight="false" outlineLevel="0" collapsed="false">
      <c r="A188" s="25"/>
      <c r="B188" s="26"/>
      <c r="C188" s="27"/>
      <c r="D188" s="28"/>
      <c r="E188" s="28"/>
      <c r="F188" s="29"/>
      <c r="G188" s="29"/>
      <c r="H188" s="29"/>
      <c r="I188" s="29"/>
      <c r="J188" s="29"/>
      <c r="K188" s="29"/>
      <c r="L188" s="30" t="str">
        <f aca="false">IF(A188="","",SUM(G188:K188))</f>
        <v/>
      </c>
      <c r="M188" s="31" t="str">
        <f aca="false">IF(A188="","",IF(F188=0,0,L188/F188))</f>
        <v/>
      </c>
      <c r="N188" s="5" t="str">
        <f aca="false">IF(A188="","",CHOOSE(WEEKDAY(A188,2),"月","火","水","木","金","土","日"))</f>
        <v/>
      </c>
      <c r="O188" s="5" t="str">
        <f aca="false">IF(B188="","",IF(HOUR(B188)&lt;6,"深夜(0-5時)",IF(HOUR(B188)&lt;11,"朝(6-10時)",IF(HOUR(B188)&lt;15,"昼(11-14時)",IF(HOUR(B188)&lt;19,"夕方(15-18時)","夜(19-23時)")))))</f>
        <v/>
      </c>
      <c r="P188" s="32" t="str">
        <f aca="false">IF(M188="","",M188+ROW()/1000000000)</f>
        <v/>
      </c>
    </row>
    <row r="189" customFormat="false" ht="15" hidden="false" customHeight="false" outlineLevel="0" collapsed="false">
      <c r="A189" s="25"/>
      <c r="B189" s="26"/>
      <c r="C189" s="27"/>
      <c r="D189" s="28"/>
      <c r="E189" s="28"/>
      <c r="F189" s="29"/>
      <c r="G189" s="29"/>
      <c r="H189" s="29"/>
      <c r="I189" s="29"/>
      <c r="J189" s="29"/>
      <c r="K189" s="29"/>
      <c r="L189" s="30" t="str">
        <f aca="false">IF(A189="","",SUM(G189:K189))</f>
        <v/>
      </c>
      <c r="M189" s="31" t="str">
        <f aca="false">IF(A189="","",IF(F189=0,0,L189/F189))</f>
        <v/>
      </c>
      <c r="N189" s="5" t="str">
        <f aca="false">IF(A189="","",CHOOSE(WEEKDAY(A189,2),"月","火","水","木","金","土","日"))</f>
        <v/>
      </c>
      <c r="O189" s="5" t="str">
        <f aca="false">IF(B189="","",IF(HOUR(B189)&lt;6,"深夜(0-5時)",IF(HOUR(B189)&lt;11,"朝(6-10時)",IF(HOUR(B189)&lt;15,"昼(11-14時)",IF(HOUR(B189)&lt;19,"夕方(15-18時)","夜(19-23時)")))))</f>
        <v/>
      </c>
      <c r="P189" s="32" t="str">
        <f aca="false">IF(M189="","",M189+ROW()/1000000000)</f>
        <v/>
      </c>
    </row>
    <row r="190" customFormat="false" ht="15" hidden="false" customHeight="false" outlineLevel="0" collapsed="false">
      <c r="A190" s="25"/>
      <c r="B190" s="26"/>
      <c r="C190" s="27"/>
      <c r="D190" s="28"/>
      <c r="E190" s="28"/>
      <c r="F190" s="29"/>
      <c r="G190" s="29"/>
      <c r="H190" s="29"/>
      <c r="I190" s="29"/>
      <c r="J190" s="29"/>
      <c r="K190" s="29"/>
      <c r="L190" s="30" t="str">
        <f aca="false">IF(A190="","",SUM(G190:K190))</f>
        <v/>
      </c>
      <c r="M190" s="31" t="str">
        <f aca="false">IF(A190="","",IF(F190=0,0,L190/F190))</f>
        <v/>
      </c>
      <c r="N190" s="5" t="str">
        <f aca="false">IF(A190="","",CHOOSE(WEEKDAY(A190,2),"月","火","水","木","金","土","日"))</f>
        <v/>
      </c>
      <c r="O190" s="5" t="str">
        <f aca="false">IF(B190="","",IF(HOUR(B190)&lt;6,"深夜(0-5時)",IF(HOUR(B190)&lt;11,"朝(6-10時)",IF(HOUR(B190)&lt;15,"昼(11-14時)",IF(HOUR(B190)&lt;19,"夕方(15-18時)","夜(19-23時)")))))</f>
        <v/>
      </c>
      <c r="P190" s="32" t="str">
        <f aca="false">IF(M190="","",M190+ROW()/1000000000)</f>
        <v/>
      </c>
    </row>
    <row r="191" customFormat="false" ht="15" hidden="false" customHeight="false" outlineLevel="0" collapsed="false">
      <c r="A191" s="25"/>
      <c r="B191" s="26"/>
      <c r="C191" s="27"/>
      <c r="D191" s="28"/>
      <c r="E191" s="28"/>
      <c r="F191" s="29"/>
      <c r="G191" s="29"/>
      <c r="H191" s="29"/>
      <c r="I191" s="29"/>
      <c r="J191" s="29"/>
      <c r="K191" s="29"/>
      <c r="L191" s="30" t="str">
        <f aca="false">IF(A191="","",SUM(G191:K191))</f>
        <v/>
      </c>
      <c r="M191" s="31" t="str">
        <f aca="false">IF(A191="","",IF(F191=0,0,L191/F191))</f>
        <v/>
      </c>
      <c r="N191" s="5" t="str">
        <f aca="false">IF(A191="","",CHOOSE(WEEKDAY(A191,2),"月","火","水","木","金","土","日"))</f>
        <v/>
      </c>
      <c r="O191" s="5" t="str">
        <f aca="false">IF(B191="","",IF(HOUR(B191)&lt;6,"深夜(0-5時)",IF(HOUR(B191)&lt;11,"朝(6-10時)",IF(HOUR(B191)&lt;15,"昼(11-14時)",IF(HOUR(B191)&lt;19,"夕方(15-18時)","夜(19-23時)")))))</f>
        <v/>
      </c>
      <c r="P191" s="32" t="str">
        <f aca="false">IF(M191="","",M191+ROW()/1000000000)</f>
        <v/>
      </c>
    </row>
    <row r="192" customFormat="false" ht="15" hidden="false" customHeight="false" outlineLevel="0" collapsed="false">
      <c r="A192" s="25"/>
      <c r="B192" s="26"/>
      <c r="C192" s="27"/>
      <c r="D192" s="28"/>
      <c r="E192" s="28"/>
      <c r="F192" s="29"/>
      <c r="G192" s="29"/>
      <c r="H192" s="29"/>
      <c r="I192" s="29"/>
      <c r="J192" s="29"/>
      <c r="K192" s="29"/>
      <c r="L192" s="30" t="str">
        <f aca="false">IF(A192="","",SUM(G192:K192))</f>
        <v/>
      </c>
      <c r="M192" s="31" t="str">
        <f aca="false">IF(A192="","",IF(F192=0,0,L192/F192))</f>
        <v/>
      </c>
      <c r="N192" s="5" t="str">
        <f aca="false">IF(A192="","",CHOOSE(WEEKDAY(A192,2),"月","火","水","木","金","土","日"))</f>
        <v/>
      </c>
      <c r="O192" s="5" t="str">
        <f aca="false">IF(B192="","",IF(HOUR(B192)&lt;6,"深夜(0-5時)",IF(HOUR(B192)&lt;11,"朝(6-10時)",IF(HOUR(B192)&lt;15,"昼(11-14時)",IF(HOUR(B192)&lt;19,"夕方(15-18時)","夜(19-23時)")))))</f>
        <v/>
      </c>
      <c r="P192" s="32" t="str">
        <f aca="false">IF(M192="","",M192+ROW()/1000000000)</f>
        <v/>
      </c>
    </row>
    <row r="193" customFormat="false" ht="15" hidden="false" customHeight="false" outlineLevel="0" collapsed="false">
      <c r="A193" s="25"/>
      <c r="B193" s="26"/>
      <c r="C193" s="27"/>
      <c r="D193" s="28"/>
      <c r="E193" s="28"/>
      <c r="F193" s="29"/>
      <c r="G193" s="29"/>
      <c r="H193" s="29"/>
      <c r="I193" s="29"/>
      <c r="J193" s="29"/>
      <c r="K193" s="29"/>
      <c r="L193" s="30" t="str">
        <f aca="false">IF(A193="","",SUM(G193:K193))</f>
        <v/>
      </c>
      <c r="M193" s="31" t="str">
        <f aca="false">IF(A193="","",IF(F193=0,0,L193/F193))</f>
        <v/>
      </c>
      <c r="N193" s="5" t="str">
        <f aca="false">IF(A193="","",CHOOSE(WEEKDAY(A193,2),"月","火","水","木","金","土","日"))</f>
        <v/>
      </c>
      <c r="O193" s="5" t="str">
        <f aca="false">IF(B193="","",IF(HOUR(B193)&lt;6,"深夜(0-5時)",IF(HOUR(B193)&lt;11,"朝(6-10時)",IF(HOUR(B193)&lt;15,"昼(11-14時)",IF(HOUR(B193)&lt;19,"夕方(15-18時)","夜(19-23時)")))))</f>
        <v/>
      </c>
      <c r="P193" s="32" t="str">
        <f aca="false">IF(M193="","",M193+ROW()/1000000000)</f>
        <v/>
      </c>
    </row>
    <row r="194" customFormat="false" ht="15" hidden="false" customHeight="false" outlineLevel="0" collapsed="false">
      <c r="A194" s="25"/>
      <c r="B194" s="26"/>
      <c r="C194" s="27"/>
      <c r="D194" s="28"/>
      <c r="E194" s="28"/>
      <c r="F194" s="29"/>
      <c r="G194" s="29"/>
      <c r="H194" s="29"/>
      <c r="I194" s="29"/>
      <c r="J194" s="29"/>
      <c r="K194" s="29"/>
      <c r="L194" s="30" t="str">
        <f aca="false">IF(A194="","",SUM(G194:K194))</f>
        <v/>
      </c>
      <c r="M194" s="31" t="str">
        <f aca="false">IF(A194="","",IF(F194=0,0,L194/F194))</f>
        <v/>
      </c>
      <c r="N194" s="5" t="str">
        <f aca="false">IF(A194="","",CHOOSE(WEEKDAY(A194,2),"月","火","水","木","金","土","日"))</f>
        <v/>
      </c>
      <c r="O194" s="5" t="str">
        <f aca="false">IF(B194="","",IF(HOUR(B194)&lt;6,"深夜(0-5時)",IF(HOUR(B194)&lt;11,"朝(6-10時)",IF(HOUR(B194)&lt;15,"昼(11-14時)",IF(HOUR(B194)&lt;19,"夕方(15-18時)","夜(19-23時)")))))</f>
        <v/>
      </c>
      <c r="P194" s="32" t="str">
        <f aca="false">IF(M194="","",M194+ROW()/1000000000)</f>
        <v/>
      </c>
    </row>
    <row r="195" customFormat="false" ht="15" hidden="false" customHeight="false" outlineLevel="0" collapsed="false">
      <c r="A195" s="25"/>
      <c r="B195" s="26"/>
      <c r="C195" s="27"/>
      <c r="D195" s="28"/>
      <c r="E195" s="28"/>
      <c r="F195" s="29"/>
      <c r="G195" s="29"/>
      <c r="H195" s="29"/>
      <c r="I195" s="29"/>
      <c r="J195" s="29"/>
      <c r="K195" s="29"/>
      <c r="L195" s="30" t="str">
        <f aca="false">IF(A195="","",SUM(G195:K195))</f>
        <v/>
      </c>
      <c r="M195" s="31" t="str">
        <f aca="false">IF(A195="","",IF(F195=0,0,L195/F195))</f>
        <v/>
      </c>
      <c r="N195" s="5" t="str">
        <f aca="false">IF(A195="","",CHOOSE(WEEKDAY(A195,2),"月","火","水","木","金","土","日"))</f>
        <v/>
      </c>
      <c r="O195" s="5" t="str">
        <f aca="false">IF(B195="","",IF(HOUR(B195)&lt;6,"深夜(0-5時)",IF(HOUR(B195)&lt;11,"朝(6-10時)",IF(HOUR(B195)&lt;15,"昼(11-14時)",IF(HOUR(B195)&lt;19,"夕方(15-18時)","夜(19-23時)")))))</f>
        <v/>
      </c>
      <c r="P195" s="32" t="str">
        <f aca="false">IF(M195="","",M195+ROW()/1000000000)</f>
        <v/>
      </c>
    </row>
    <row r="196" customFormat="false" ht="15" hidden="false" customHeight="false" outlineLevel="0" collapsed="false">
      <c r="A196" s="25"/>
      <c r="B196" s="26"/>
      <c r="C196" s="27"/>
      <c r="D196" s="28"/>
      <c r="E196" s="28"/>
      <c r="F196" s="29"/>
      <c r="G196" s="29"/>
      <c r="H196" s="29"/>
      <c r="I196" s="29"/>
      <c r="J196" s="29"/>
      <c r="K196" s="29"/>
      <c r="L196" s="30" t="str">
        <f aca="false">IF(A196="","",SUM(G196:K196))</f>
        <v/>
      </c>
      <c r="M196" s="31" t="str">
        <f aca="false">IF(A196="","",IF(F196=0,0,L196/F196))</f>
        <v/>
      </c>
      <c r="N196" s="5" t="str">
        <f aca="false">IF(A196="","",CHOOSE(WEEKDAY(A196,2),"月","火","水","木","金","土","日"))</f>
        <v/>
      </c>
      <c r="O196" s="5" t="str">
        <f aca="false">IF(B196="","",IF(HOUR(B196)&lt;6,"深夜(0-5時)",IF(HOUR(B196)&lt;11,"朝(6-10時)",IF(HOUR(B196)&lt;15,"昼(11-14時)",IF(HOUR(B196)&lt;19,"夕方(15-18時)","夜(19-23時)")))))</f>
        <v/>
      </c>
      <c r="P196" s="32" t="str">
        <f aca="false">IF(M196="","",M196+ROW()/1000000000)</f>
        <v/>
      </c>
    </row>
    <row r="197" customFormat="false" ht="15" hidden="false" customHeight="false" outlineLevel="0" collapsed="false">
      <c r="A197" s="25"/>
      <c r="B197" s="26"/>
      <c r="C197" s="27"/>
      <c r="D197" s="28"/>
      <c r="E197" s="28"/>
      <c r="F197" s="29"/>
      <c r="G197" s="29"/>
      <c r="H197" s="29"/>
      <c r="I197" s="29"/>
      <c r="J197" s="29"/>
      <c r="K197" s="29"/>
      <c r="L197" s="30" t="str">
        <f aca="false">IF(A197="","",SUM(G197:K197))</f>
        <v/>
      </c>
      <c r="M197" s="31" t="str">
        <f aca="false">IF(A197="","",IF(F197=0,0,L197/F197))</f>
        <v/>
      </c>
      <c r="N197" s="5" t="str">
        <f aca="false">IF(A197="","",CHOOSE(WEEKDAY(A197,2),"月","火","水","木","金","土","日"))</f>
        <v/>
      </c>
      <c r="O197" s="5" t="str">
        <f aca="false">IF(B197="","",IF(HOUR(B197)&lt;6,"深夜(0-5時)",IF(HOUR(B197)&lt;11,"朝(6-10時)",IF(HOUR(B197)&lt;15,"昼(11-14時)",IF(HOUR(B197)&lt;19,"夕方(15-18時)","夜(19-23時)")))))</f>
        <v/>
      </c>
      <c r="P197" s="32" t="str">
        <f aca="false">IF(M197="","",M197+ROW()/1000000000)</f>
        <v/>
      </c>
    </row>
    <row r="198" customFormat="false" ht="15" hidden="false" customHeight="false" outlineLevel="0" collapsed="false">
      <c r="A198" s="25"/>
      <c r="B198" s="26"/>
      <c r="C198" s="27"/>
      <c r="D198" s="28"/>
      <c r="E198" s="28"/>
      <c r="F198" s="29"/>
      <c r="G198" s="29"/>
      <c r="H198" s="29"/>
      <c r="I198" s="29"/>
      <c r="J198" s="29"/>
      <c r="K198" s="29"/>
      <c r="L198" s="30" t="str">
        <f aca="false">IF(A198="","",SUM(G198:K198))</f>
        <v/>
      </c>
      <c r="M198" s="31" t="str">
        <f aca="false">IF(A198="","",IF(F198=0,0,L198/F198))</f>
        <v/>
      </c>
      <c r="N198" s="5" t="str">
        <f aca="false">IF(A198="","",CHOOSE(WEEKDAY(A198,2),"月","火","水","木","金","土","日"))</f>
        <v/>
      </c>
      <c r="O198" s="5" t="str">
        <f aca="false">IF(B198="","",IF(HOUR(B198)&lt;6,"深夜(0-5時)",IF(HOUR(B198)&lt;11,"朝(6-10時)",IF(HOUR(B198)&lt;15,"昼(11-14時)",IF(HOUR(B198)&lt;19,"夕方(15-18時)","夜(19-23時)")))))</f>
        <v/>
      </c>
      <c r="P198" s="32" t="str">
        <f aca="false">IF(M198="","",M198+ROW()/1000000000)</f>
        <v/>
      </c>
    </row>
    <row r="199" customFormat="false" ht="15" hidden="false" customHeight="false" outlineLevel="0" collapsed="false">
      <c r="A199" s="25"/>
      <c r="B199" s="26"/>
      <c r="C199" s="27"/>
      <c r="D199" s="28"/>
      <c r="E199" s="28"/>
      <c r="F199" s="29"/>
      <c r="G199" s="29"/>
      <c r="H199" s="29"/>
      <c r="I199" s="29"/>
      <c r="J199" s="29"/>
      <c r="K199" s="29"/>
      <c r="L199" s="30" t="str">
        <f aca="false">IF(A199="","",SUM(G199:K199))</f>
        <v/>
      </c>
      <c r="M199" s="31" t="str">
        <f aca="false">IF(A199="","",IF(F199=0,0,L199/F199))</f>
        <v/>
      </c>
      <c r="N199" s="5" t="str">
        <f aca="false">IF(A199="","",CHOOSE(WEEKDAY(A199,2),"月","火","水","木","金","土","日"))</f>
        <v/>
      </c>
      <c r="O199" s="5" t="str">
        <f aca="false">IF(B199="","",IF(HOUR(B199)&lt;6,"深夜(0-5時)",IF(HOUR(B199)&lt;11,"朝(6-10時)",IF(HOUR(B199)&lt;15,"昼(11-14時)",IF(HOUR(B199)&lt;19,"夕方(15-18時)","夜(19-23時)")))))</f>
        <v/>
      </c>
      <c r="P199" s="32" t="str">
        <f aca="false">IF(M199="","",M199+ROW()/1000000000)</f>
        <v/>
      </c>
    </row>
    <row r="200" customFormat="false" ht="15" hidden="false" customHeight="false" outlineLevel="0" collapsed="false">
      <c r="A200" s="25"/>
      <c r="B200" s="26"/>
      <c r="C200" s="27"/>
      <c r="D200" s="28"/>
      <c r="E200" s="28"/>
      <c r="F200" s="29"/>
      <c r="G200" s="29"/>
      <c r="H200" s="29"/>
      <c r="I200" s="29"/>
      <c r="J200" s="29"/>
      <c r="K200" s="29"/>
      <c r="L200" s="30" t="str">
        <f aca="false">IF(A200="","",SUM(G200:K200))</f>
        <v/>
      </c>
      <c r="M200" s="31" t="str">
        <f aca="false">IF(A200="","",IF(F200=0,0,L200/F200))</f>
        <v/>
      </c>
      <c r="N200" s="5" t="str">
        <f aca="false">IF(A200="","",CHOOSE(WEEKDAY(A200,2),"月","火","水","木","金","土","日"))</f>
        <v/>
      </c>
      <c r="O200" s="5" t="str">
        <f aca="false">IF(B200="","",IF(HOUR(B200)&lt;6,"深夜(0-5時)",IF(HOUR(B200)&lt;11,"朝(6-10時)",IF(HOUR(B200)&lt;15,"昼(11-14時)",IF(HOUR(B200)&lt;19,"夕方(15-18時)","夜(19-23時)")))))</f>
        <v/>
      </c>
      <c r="P200" s="32" t="str">
        <f aca="false">IF(M200="","",M200+ROW()/1000000000)</f>
        <v/>
      </c>
    </row>
    <row r="201" customFormat="false" ht="15" hidden="false" customHeight="false" outlineLevel="0" collapsed="false">
      <c r="A201" s="25"/>
      <c r="B201" s="26"/>
      <c r="C201" s="27"/>
      <c r="D201" s="28"/>
      <c r="E201" s="28"/>
      <c r="F201" s="29"/>
      <c r="G201" s="29"/>
      <c r="H201" s="29"/>
      <c r="I201" s="29"/>
      <c r="J201" s="29"/>
      <c r="K201" s="29"/>
      <c r="L201" s="30" t="str">
        <f aca="false">IF(A201="","",SUM(G201:K201))</f>
        <v/>
      </c>
      <c r="M201" s="31" t="str">
        <f aca="false">IF(A201="","",IF(F201=0,0,L201/F201))</f>
        <v/>
      </c>
      <c r="N201" s="5" t="str">
        <f aca="false">IF(A201="","",CHOOSE(WEEKDAY(A201,2),"月","火","水","木","金","土","日"))</f>
        <v/>
      </c>
      <c r="O201" s="5" t="str">
        <f aca="false">IF(B201="","",IF(HOUR(B201)&lt;6,"深夜(0-5時)",IF(HOUR(B201)&lt;11,"朝(6-10時)",IF(HOUR(B201)&lt;15,"昼(11-14時)",IF(HOUR(B201)&lt;19,"夕方(15-18時)","夜(19-23時)")))))</f>
        <v/>
      </c>
      <c r="P201" s="32" t="str">
        <f aca="false">IF(M201="","",M201+ROW()/1000000000)</f>
        <v/>
      </c>
    </row>
    <row r="202" customFormat="false" ht="15" hidden="false" customHeight="false" outlineLevel="0" collapsed="false">
      <c r="A202" s="25"/>
      <c r="B202" s="26"/>
      <c r="C202" s="27"/>
      <c r="D202" s="28"/>
      <c r="E202" s="28"/>
      <c r="F202" s="29"/>
      <c r="G202" s="29"/>
      <c r="H202" s="29"/>
      <c r="I202" s="29"/>
      <c r="J202" s="29"/>
      <c r="K202" s="29"/>
      <c r="L202" s="30" t="str">
        <f aca="false">IF(A202="","",SUM(G202:K202))</f>
        <v/>
      </c>
      <c r="M202" s="31" t="str">
        <f aca="false">IF(A202="","",IF(F202=0,0,L202/F202))</f>
        <v/>
      </c>
      <c r="N202" s="5" t="str">
        <f aca="false">IF(A202="","",CHOOSE(WEEKDAY(A202,2),"月","火","水","木","金","土","日"))</f>
        <v/>
      </c>
      <c r="O202" s="5" t="str">
        <f aca="false">IF(B202="","",IF(HOUR(B202)&lt;6,"深夜(0-5時)",IF(HOUR(B202)&lt;11,"朝(6-10時)",IF(HOUR(B202)&lt;15,"昼(11-14時)",IF(HOUR(B202)&lt;19,"夕方(15-18時)","夜(19-23時)")))))</f>
        <v/>
      </c>
      <c r="P202" s="32" t="str">
        <f aca="false">IF(M202="","",M202+ROW()/1000000000)</f>
        <v/>
      </c>
    </row>
    <row r="203" customFormat="false" ht="15" hidden="false" customHeight="false" outlineLevel="0" collapsed="false">
      <c r="A203" s="25"/>
      <c r="B203" s="26"/>
      <c r="C203" s="27"/>
      <c r="D203" s="28"/>
      <c r="E203" s="28"/>
      <c r="F203" s="29"/>
      <c r="G203" s="29"/>
      <c r="H203" s="29"/>
      <c r="I203" s="29"/>
      <c r="J203" s="29"/>
      <c r="K203" s="29"/>
      <c r="L203" s="30" t="str">
        <f aca="false">IF(A203="","",SUM(G203:K203))</f>
        <v/>
      </c>
      <c r="M203" s="31" t="str">
        <f aca="false">IF(A203="","",IF(F203=0,0,L203/F203))</f>
        <v/>
      </c>
      <c r="N203" s="5" t="str">
        <f aca="false">IF(A203="","",CHOOSE(WEEKDAY(A203,2),"月","火","水","木","金","土","日"))</f>
        <v/>
      </c>
      <c r="O203" s="5" t="str">
        <f aca="false">IF(B203="","",IF(HOUR(B203)&lt;6,"深夜(0-5時)",IF(HOUR(B203)&lt;11,"朝(6-10時)",IF(HOUR(B203)&lt;15,"昼(11-14時)",IF(HOUR(B203)&lt;19,"夕方(15-18時)","夜(19-23時)")))))</f>
        <v/>
      </c>
      <c r="P203" s="32" t="str">
        <f aca="false">IF(M203="","",M203+ROW()/1000000000)</f>
        <v/>
      </c>
    </row>
    <row r="204" customFormat="false" ht="15" hidden="false" customHeight="false" outlineLevel="0" collapsed="false">
      <c r="A204" s="25"/>
      <c r="B204" s="26"/>
      <c r="C204" s="27"/>
      <c r="D204" s="28"/>
      <c r="E204" s="28"/>
      <c r="F204" s="29"/>
      <c r="G204" s="29"/>
      <c r="H204" s="29"/>
      <c r="I204" s="29"/>
      <c r="J204" s="29"/>
      <c r="K204" s="29"/>
      <c r="L204" s="30" t="str">
        <f aca="false">IF(A204="","",SUM(G204:K204))</f>
        <v/>
      </c>
      <c r="M204" s="31" t="str">
        <f aca="false">IF(A204="","",IF(F204=0,0,L204/F204))</f>
        <v/>
      </c>
      <c r="N204" s="5" t="str">
        <f aca="false">IF(A204="","",CHOOSE(WEEKDAY(A204,2),"月","火","水","木","金","土","日"))</f>
        <v/>
      </c>
      <c r="O204" s="5" t="str">
        <f aca="false">IF(B204="","",IF(HOUR(B204)&lt;6,"深夜(0-5時)",IF(HOUR(B204)&lt;11,"朝(6-10時)",IF(HOUR(B204)&lt;15,"昼(11-14時)",IF(HOUR(B204)&lt;19,"夕方(15-18時)","夜(19-23時)")))))</f>
        <v/>
      </c>
      <c r="P204" s="32" t="str">
        <f aca="false">IF(M204="","",M204+ROW()/1000000000)</f>
        <v/>
      </c>
    </row>
    <row r="205" customFormat="false" ht="15" hidden="false" customHeight="false" outlineLevel="0" collapsed="false">
      <c r="A205" s="25"/>
      <c r="B205" s="26"/>
      <c r="C205" s="27"/>
      <c r="D205" s="28"/>
      <c r="E205" s="28"/>
      <c r="F205" s="29"/>
      <c r="G205" s="29"/>
      <c r="H205" s="29"/>
      <c r="I205" s="29"/>
      <c r="J205" s="29"/>
      <c r="K205" s="29"/>
      <c r="L205" s="30" t="str">
        <f aca="false">IF(A205="","",SUM(G205:K205))</f>
        <v/>
      </c>
      <c r="M205" s="31" t="str">
        <f aca="false">IF(A205="","",IF(F205=0,0,L205/F205))</f>
        <v/>
      </c>
      <c r="N205" s="5" t="str">
        <f aca="false">IF(A205="","",CHOOSE(WEEKDAY(A205,2),"月","火","水","木","金","土","日"))</f>
        <v/>
      </c>
      <c r="O205" s="5" t="str">
        <f aca="false">IF(B205="","",IF(HOUR(B205)&lt;6,"深夜(0-5時)",IF(HOUR(B205)&lt;11,"朝(6-10時)",IF(HOUR(B205)&lt;15,"昼(11-14時)",IF(HOUR(B205)&lt;19,"夕方(15-18時)","夜(19-23時)")))))</f>
        <v/>
      </c>
      <c r="P205" s="32" t="str">
        <f aca="false">IF(M205="","",M205+ROW()/1000000000)</f>
        <v/>
      </c>
    </row>
    <row r="206" customFormat="false" ht="15" hidden="false" customHeight="false" outlineLevel="0" collapsed="false">
      <c r="A206" s="25"/>
      <c r="B206" s="26"/>
      <c r="C206" s="27"/>
      <c r="D206" s="28"/>
      <c r="E206" s="28"/>
      <c r="F206" s="29"/>
      <c r="G206" s="29"/>
      <c r="H206" s="29"/>
      <c r="I206" s="29"/>
      <c r="J206" s="29"/>
      <c r="K206" s="29"/>
      <c r="L206" s="30" t="str">
        <f aca="false">IF(A206="","",SUM(G206:K206))</f>
        <v/>
      </c>
      <c r="M206" s="31" t="str">
        <f aca="false">IF(A206="","",IF(F206=0,0,L206/F206))</f>
        <v/>
      </c>
      <c r="N206" s="5" t="str">
        <f aca="false">IF(A206="","",CHOOSE(WEEKDAY(A206,2),"月","火","水","木","金","土","日"))</f>
        <v/>
      </c>
      <c r="O206" s="5" t="str">
        <f aca="false">IF(B206="","",IF(HOUR(B206)&lt;6,"深夜(0-5時)",IF(HOUR(B206)&lt;11,"朝(6-10時)",IF(HOUR(B206)&lt;15,"昼(11-14時)",IF(HOUR(B206)&lt;19,"夕方(15-18時)","夜(19-23時)")))))</f>
        <v/>
      </c>
      <c r="P206" s="32" t="str">
        <f aca="false">IF(M206="","",M206+ROW()/1000000000)</f>
        <v/>
      </c>
    </row>
    <row r="207" customFormat="false" ht="15" hidden="false" customHeight="false" outlineLevel="0" collapsed="false">
      <c r="A207" s="25"/>
      <c r="B207" s="26"/>
      <c r="C207" s="27"/>
      <c r="D207" s="28"/>
      <c r="E207" s="28"/>
      <c r="F207" s="29"/>
      <c r="G207" s="29"/>
      <c r="H207" s="29"/>
      <c r="I207" s="29"/>
      <c r="J207" s="29"/>
      <c r="K207" s="29"/>
      <c r="L207" s="30" t="str">
        <f aca="false">IF(A207="","",SUM(G207:K207))</f>
        <v/>
      </c>
      <c r="M207" s="31" t="str">
        <f aca="false">IF(A207="","",IF(F207=0,0,L207/F207))</f>
        <v/>
      </c>
      <c r="N207" s="5" t="str">
        <f aca="false">IF(A207="","",CHOOSE(WEEKDAY(A207,2),"月","火","水","木","金","土","日"))</f>
        <v/>
      </c>
      <c r="O207" s="5" t="str">
        <f aca="false">IF(B207="","",IF(HOUR(B207)&lt;6,"深夜(0-5時)",IF(HOUR(B207)&lt;11,"朝(6-10時)",IF(HOUR(B207)&lt;15,"昼(11-14時)",IF(HOUR(B207)&lt;19,"夕方(15-18時)","夜(19-23時)")))))</f>
        <v/>
      </c>
      <c r="P207" s="32" t="str">
        <f aca="false">IF(M207="","",M207+ROW()/1000000000)</f>
        <v/>
      </c>
    </row>
    <row r="208" customFormat="false" ht="15" hidden="false" customHeight="false" outlineLevel="0" collapsed="false">
      <c r="A208" s="25"/>
      <c r="B208" s="26"/>
      <c r="C208" s="27"/>
      <c r="D208" s="28"/>
      <c r="E208" s="28"/>
      <c r="F208" s="29"/>
      <c r="G208" s="29"/>
      <c r="H208" s="29"/>
      <c r="I208" s="29"/>
      <c r="J208" s="29"/>
      <c r="K208" s="29"/>
      <c r="L208" s="30" t="str">
        <f aca="false">IF(A208="","",SUM(G208:K208))</f>
        <v/>
      </c>
      <c r="M208" s="31" t="str">
        <f aca="false">IF(A208="","",IF(F208=0,0,L208/F208))</f>
        <v/>
      </c>
      <c r="N208" s="5" t="str">
        <f aca="false">IF(A208="","",CHOOSE(WEEKDAY(A208,2),"月","火","水","木","金","土","日"))</f>
        <v/>
      </c>
      <c r="O208" s="5" t="str">
        <f aca="false">IF(B208="","",IF(HOUR(B208)&lt;6,"深夜(0-5時)",IF(HOUR(B208)&lt;11,"朝(6-10時)",IF(HOUR(B208)&lt;15,"昼(11-14時)",IF(HOUR(B208)&lt;19,"夕方(15-18時)","夜(19-23時)")))))</f>
        <v/>
      </c>
      <c r="P208" s="32" t="str">
        <f aca="false">IF(M208="","",M208+ROW()/1000000000)</f>
        <v/>
      </c>
    </row>
    <row r="209" customFormat="false" ht="15" hidden="false" customHeight="false" outlineLevel="0" collapsed="false">
      <c r="A209" s="25"/>
      <c r="B209" s="26"/>
      <c r="C209" s="27"/>
      <c r="D209" s="28"/>
      <c r="E209" s="28"/>
      <c r="F209" s="29"/>
      <c r="G209" s="29"/>
      <c r="H209" s="29"/>
      <c r="I209" s="29"/>
      <c r="J209" s="29"/>
      <c r="K209" s="29"/>
      <c r="L209" s="30" t="str">
        <f aca="false">IF(A209="","",SUM(G209:K209))</f>
        <v/>
      </c>
      <c r="M209" s="31" t="str">
        <f aca="false">IF(A209="","",IF(F209=0,0,L209/F209))</f>
        <v/>
      </c>
      <c r="N209" s="5" t="str">
        <f aca="false">IF(A209="","",CHOOSE(WEEKDAY(A209,2),"月","火","水","木","金","土","日"))</f>
        <v/>
      </c>
      <c r="O209" s="5" t="str">
        <f aca="false">IF(B209="","",IF(HOUR(B209)&lt;6,"深夜(0-5時)",IF(HOUR(B209)&lt;11,"朝(6-10時)",IF(HOUR(B209)&lt;15,"昼(11-14時)",IF(HOUR(B209)&lt;19,"夕方(15-18時)","夜(19-23時)")))))</f>
        <v/>
      </c>
      <c r="P209" s="32" t="str">
        <f aca="false">IF(M209="","",M209+ROW()/1000000000)</f>
        <v/>
      </c>
    </row>
    <row r="210" customFormat="false" ht="15" hidden="false" customHeight="false" outlineLevel="0" collapsed="false">
      <c r="A210" s="25"/>
      <c r="B210" s="26"/>
      <c r="C210" s="27"/>
      <c r="D210" s="28"/>
      <c r="E210" s="28"/>
      <c r="F210" s="29"/>
      <c r="G210" s="29"/>
      <c r="H210" s="29"/>
      <c r="I210" s="29"/>
      <c r="J210" s="29"/>
      <c r="K210" s="29"/>
      <c r="L210" s="30" t="str">
        <f aca="false">IF(A210="","",SUM(G210:K210))</f>
        <v/>
      </c>
      <c r="M210" s="31" t="str">
        <f aca="false">IF(A210="","",IF(F210=0,0,L210/F210))</f>
        <v/>
      </c>
      <c r="N210" s="5" t="str">
        <f aca="false">IF(A210="","",CHOOSE(WEEKDAY(A210,2),"月","火","水","木","金","土","日"))</f>
        <v/>
      </c>
      <c r="O210" s="5" t="str">
        <f aca="false">IF(B210="","",IF(HOUR(B210)&lt;6,"深夜(0-5時)",IF(HOUR(B210)&lt;11,"朝(6-10時)",IF(HOUR(B210)&lt;15,"昼(11-14時)",IF(HOUR(B210)&lt;19,"夕方(15-18時)","夜(19-23時)")))))</f>
        <v/>
      </c>
      <c r="P210" s="32" t="str">
        <f aca="false">IF(M210="","",M210+ROW()/1000000000)</f>
        <v/>
      </c>
    </row>
    <row r="211" customFormat="false" ht="15" hidden="false" customHeight="false" outlineLevel="0" collapsed="false">
      <c r="A211" s="25"/>
      <c r="B211" s="26"/>
      <c r="C211" s="27"/>
      <c r="D211" s="28"/>
      <c r="E211" s="28"/>
      <c r="F211" s="29"/>
      <c r="G211" s="29"/>
      <c r="H211" s="29"/>
      <c r="I211" s="29"/>
      <c r="J211" s="29"/>
      <c r="K211" s="29"/>
      <c r="L211" s="30" t="str">
        <f aca="false">IF(A211="","",SUM(G211:K211))</f>
        <v/>
      </c>
      <c r="M211" s="31" t="str">
        <f aca="false">IF(A211="","",IF(F211=0,0,L211/F211))</f>
        <v/>
      </c>
      <c r="N211" s="5" t="str">
        <f aca="false">IF(A211="","",CHOOSE(WEEKDAY(A211,2),"月","火","水","木","金","土","日"))</f>
        <v/>
      </c>
      <c r="O211" s="5" t="str">
        <f aca="false">IF(B211="","",IF(HOUR(B211)&lt;6,"深夜(0-5時)",IF(HOUR(B211)&lt;11,"朝(6-10時)",IF(HOUR(B211)&lt;15,"昼(11-14時)",IF(HOUR(B211)&lt;19,"夕方(15-18時)","夜(19-23時)")))))</f>
        <v/>
      </c>
      <c r="P211" s="32" t="str">
        <f aca="false">IF(M211="","",M211+ROW()/1000000000)</f>
        <v/>
      </c>
    </row>
    <row r="212" customFormat="false" ht="15" hidden="false" customHeight="false" outlineLevel="0" collapsed="false">
      <c r="A212" s="25"/>
      <c r="B212" s="26"/>
      <c r="C212" s="27"/>
      <c r="D212" s="28"/>
      <c r="E212" s="28"/>
      <c r="F212" s="29"/>
      <c r="G212" s="29"/>
      <c r="H212" s="29"/>
      <c r="I212" s="29"/>
      <c r="J212" s="29"/>
      <c r="K212" s="29"/>
      <c r="L212" s="30" t="str">
        <f aca="false">IF(A212="","",SUM(G212:K212))</f>
        <v/>
      </c>
      <c r="M212" s="31" t="str">
        <f aca="false">IF(A212="","",IF(F212=0,0,L212/F212))</f>
        <v/>
      </c>
      <c r="N212" s="5" t="str">
        <f aca="false">IF(A212="","",CHOOSE(WEEKDAY(A212,2),"月","火","水","木","金","土","日"))</f>
        <v/>
      </c>
      <c r="O212" s="5" t="str">
        <f aca="false">IF(B212="","",IF(HOUR(B212)&lt;6,"深夜(0-5時)",IF(HOUR(B212)&lt;11,"朝(6-10時)",IF(HOUR(B212)&lt;15,"昼(11-14時)",IF(HOUR(B212)&lt;19,"夕方(15-18時)","夜(19-23時)")))))</f>
        <v/>
      </c>
      <c r="P212" s="32" t="str">
        <f aca="false">IF(M212="","",M212+ROW()/1000000000)</f>
        <v/>
      </c>
    </row>
    <row r="213" customFormat="false" ht="15" hidden="false" customHeight="false" outlineLevel="0" collapsed="false">
      <c r="A213" s="25"/>
      <c r="B213" s="26"/>
      <c r="C213" s="27"/>
      <c r="D213" s="28"/>
      <c r="E213" s="28"/>
      <c r="F213" s="29"/>
      <c r="G213" s="29"/>
      <c r="H213" s="29"/>
      <c r="I213" s="29"/>
      <c r="J213" s="29"/>
      <c r="K213" s="29"/>
      <c r="L213" s="30" t="str">
        <f aca="false">IF(A213="","",SUM(G213:K213))</f>
        <v/>
      </c>
      <c r="M213" s="31" t="str">
        <f aca="false">IF(A213="","",IF(F213=0,0,L213/F213))</f>
        <v/>
      </c>
      <c r="N213" s="5" t="str">
        <f aca="false">IF(A213="","",CHOOSE(WEEKDAY(A213,2),"月","火","水","木","金","土","日"))</f>
        <v/>
      </c>
      <c r="O213" s="5" t="str">
        <f aca="false">IF(B213="","",IF(HOUR(B213)&lt;6,"深夜(0-5時)",IF(HOUR(B213)&lt;11,"朝(6-10時)",IF(HOUR(B213)&lt;15,"昼(11-14時)",IF(HOUR(B213)&lt;19,"夕方(15-18時)","夜(19-23時)")))))</f>
        <v/>
      </c>
      <c r="P213" s="32" t="str">
        <f aca="false">IF(M213="","",M213+ROW()/1000000000)</f>
        <v/>
      </c>
    </row>
    <row r="214" customFormat="false" ht="15" hidden="false" customHeight="false" outlineLevel="0" collapsed="false">
      <c r="A214" s="25"/>
      <c r="B214" s="26"/>
      <c r="C214" s="27"/>
      <c r="D214" s="28"/>
      <c r="E214" s="28"/>
      <c r="F214" s="29"/>
      <c r="G214" s="29"/>
      <c r="H214" s="29"/>
      <c r="I214" s="29"/>
      <c r="J214" s="29"/>
      <c r="K214" s="29"/>
      <c r="L214" s="30" t="str">
        <f aca="false">IF(A214="","",SUM(G214:K214))</f>
        <v/>
      </c>
      <c r="M214" s="31" t="str">
        <f aca="false">IF(A214="","",IF(F214=0,0,L214/F214))</f>
        <v/>
      </c>
      <c r="N214" s="5" t="str">
        <f aca="false">IF(A214="","",CHOOSE(WEEKDAY(A214,2),"月","火","水","木","金","土","日"))</f>
        <v/>
      </c>
      <c r="O214" s="5" t="str">
        <f aca="false">IF(B214="","",IF(HOUR(B214)&lt;6,"深夜(0-5時)",IF(HOUR(B214)&lt;11,"朝(6-10時)",IF(HOUR(B214)&lt;15,"昼(11-14時)",IF(HOUR(B214)&lt;19,"夕方(15-18時)","夜(19-23時)")))))</f>
        <v/>
      </c>
      <c r="P214" s="32" t="str">
        <f aca="false">IF(M214="","",M214+ROW()/1000000000)</f>
        <v/>
      </c>
    </row>
    <row r="215" customFormat="false" ht="15" hidden="false" customHeight="false" outlineLevel="0" collapsed="false">
      <c r="A215" s="25"/>
      <c r="B215" s="26"/>
      <c r="C215" s="27"/>
      <c r="D215" s="28"/>
      <c r="E215" s="28"/>
      <c r="F215" s="29"/>
      <c r="G215" s="29"/>
      <c r="H215" s="29"/>
      <c r="I215" s="29"/>
      <c r="J215" s="29"/>
      <c r="K215" s="29"/>
      <c r="L215" s="30" t="str">
        <f aca="false">IF(A215="","",SUM(G215:K215))</f>
        <v/>
      </c>
      <c r="M215" s="31" t="str">
        <f aca="false">IF(A215="","",IF(F215=0,0,L215/F215))</f>
        <v/>
      </c>
      <c r="N215" s="5" t="str">
        <f aca="false">IF(A215="","",CHOOSE(WEEKDAY(A215,2),"月","火","水","木","金","土","日"))</f>
        <v/>
      </c>
      <c r="O215" s="5" t="str">
        <f aca="false">IF(B215="","",IF(HOUR(B215)&lt;6,"深夜(0-5時)",IF(HOUR(B215)&lt;11,"朝(6-10時)",IF(HOUR(B215)&lt;15,"昼(11-14時)",IF(HOUR(B215)&lt;19,"夕方(15-18時)","夜(19-23時)")))))</f>
        <v/>
      </c>
      <c r="P215" s="32" t="str">
        <f aca="false">IF(M215="","",M215+ROW()/1000000000)</f>
        <v/>
      </c>
    </row>
    <row r="216" customFormat="false" ht="15" hidden="false" customHeight="false" outlineLevel="0" collapsed="false">
      <c r="A216" s="25"/>
      <c r="B216" s="26"/>
      <c r="C216" s="27"/>
      <c r="D216" s="28"/>
      <c r="E216" s="28"/>
      <c r="F216" s="29"/>
      <c r="G216" s="29"/>
      <c r="H216" s="29"/>
      <c r="I216" s="29"/>
      <c r="J216" s="29"/>
      <c r="K216" s="29"/>
      <c r="L216" s="30" t="str">
        <f aca="false">IF(A216="","",SUM(G216:K216))</f>
        <v/>
      </c>
      <c r="M216" s="31" t="str">
        <f aca="false">IF(A216="","",IF(F216=0,0,L216/F216))</f>
        <v/>
      </c>
      <c r="N216" s="5" t="str">
        <f aca="false">IF(A216="","",CHOOSE(WEEKDAY(A216,2),"月","火","水","木","金","土","日"))</f>
        <v/>
      </c>
      <c r="O216" s="5" t="str">
        <f aca="false">IF(B216="","",IF(HOUR(B216)&lt;6,"深夜(0-5時)",IF(HOUR(B216)&lt;11,"朝(6-10時)",IF(HOUR(B216)&lt;15,"昼(11-14時)",IF(HOUR(B216)&lt;19,"夕方(15-18時)","夜(19-23時)")))))</f>
        <v/>
      </c>
      <c r="P216" s="32" t="str">
        <f aca="false">IF(M216="","",M216+ROW()/1000000000)</f>
        <v/>
      </c>
    </row>
    <row r="217" customFormat="false" ht="15" hidden="false" customHeight="false" outlineLevel="0" collapsed="false">
      <c r="A217" s="25"/>
      <c r="B217" s="26"/>
      <c r="C217" s="27"/>
      <c r="D217" s="28"/>
      <c r="E217" s="28"/>
      <c r="F217" s="29"/>
      <c r="G217" s="29"/>
      <c r="H217" s="29"/>
      <c r="I217" s="29"/>
      <c r="J217" s="29"/>
      <c r="K217" s="29"/>
      <c r="L217" s="30" t="str">
        <f aca="false">IF(A217="","",SUM(G217:K217))</f>
        <v/>
      </c>
      <c r="M217" s="31" t="str">
        <f aca="false">IF(A217="","",IF(F217=0,0,L217/F217))</f>
        <v/>
      </c>
      <c r="N217" s="5" t="str">
        <f aca="false">IF(A217="","",CHOOSE(WEEKDAY(A217,2),"月","火","水","木","金","土","日"))</f>
        <v/>
      </c>
      <c r="O217" s="5" t="str">
        <f aca="false">IF(B217="","",IF(HOUR(B217)&lt;6,"深夜(0-5時)",IF(HOUR(B217)&lt;11,"朝(6-10時)",IF(HOUR(B217)&lt;15,"昼(11-14時)",IF(HOUR(B217)&lt;19,"夕方(15-18時)","夜(19-23時)")))))</f>
        <v/>
      </c>
      <c r="P217" s="32" t="str">
        <f aca="false">IF(M217="","",M217+ROW()/1000000000)</f>
        <v/>
      </c>
    </row>
    <row r="218" customFormat="false" ht="15" hidden="false" customHeight="false" outlineLevel="0" collapsed="false">
      <c r="A218" s="25"/>
      <c r="B218" s="26"/>
      <c r="C218" s="27"/>
      <c r="D218" s="28"/>
      <c r="E218" s="28"/>
      <c r="F218" s="29"/>
      <c r="G218" s="29"/>
      <c r="H218" s="29"/>
      <c r="I218" s="29"/>
      <c r="J218" s="29"/>
      <c r="K218" s="29"/>
      <c r="L218" s="30" t="str">
        <f aca="false">IF(A218="","",SUM(G218:K218))</f>
        <v/>
      </c>
      <c r="M218" s="31" t="str">
        <f aca="false">IF(A218="","",IF(F218=0,0,L218/F218))</f>
        <v/>
      </c>
      <c r="N218" s="5" t="str">
        <f aca="false">IF(A218="","",CHOOSE(WEEKDAY(A218,2),"月","火","水","木","金","土","日"))</f>
        <v/>
      </c>
      <c r="O218" s="5" t="str">
        <f aca="false">IF(B218="","",IF(HOUR(B218)&lt;6,"深夜(0-5時)",IF(HOUR(B218)&lt;11,"朝(6-10時)",IF(HOUR(B218)&lt;15,"昼(11-14時)",IF(HOUR(B218)&lt;19,"夕方(15-18時)","夜(19-23時)")))))</f>
        <v/>
      </c>
      <c r="P218" s="32" t="str">
        <f aca="false">IF(M218="","",M218+ROW()/1000000000)</f>
        <v/>
      </c>
    </row>
    <row r="219" customFormat="false" ht="15" hidden="false" customHeight="false" outlineLevel="0" collapsed="false">
      <c r="A219" s="25"/>
      <c r="B219" s="26"/>
      <c r="C219" s="27"/>
      <c r="D219" s="28"/>
      <c r="E219" s="28"/>
      <c r="F219" s="29"/>
      <c r="G219" s="29"/>
      <c r="H219" s="29"/>
      <c r="I219" s="29"/>
      <c r="J219" s="29"/>
      <c r="K219" s="29"/>
      <c r="L219" s="30" t="str">
        <f aca="false">IF(A219="","",SUM(G219:K219))</f>
        <v/>
      </c>
      <c r="M219" s="31" t="str">
        <f aca="false">IF(A219="","",IF(F219=0,0,L219/F219))</f>
        <v/>
      </c>
      <c r="N219" s="5" t="str">
        <f aca="false">IF(A219="","",CHOOSE(WEEKDAY(A219,2),"月","火","水","木","金","土","日"))</f>
        <v/>
      </c>
      <c r="O219" s="5" t="str">
        <f aca="false">IF(B219="","",IF(HOUR(B219)&lt;6,"深夜(0-5時)",IF(HOUR(B219)&lt;11,"朝(6-10時)",IF(HOUR(B219)&lt;15,"昼(11-14時)",IF(HOUR(B219)&lt;19,"夕方(15-18時)","夜(19-23時)")))))</f>
        <v/>
      </c>
      <c r="P219" s="32" t="str">
        <f aca="false">IF(M219="","",M219+ROW()/1000000000)</f>
        <v/>
      </c>
    </row>
    <row r="220" customFormat="false" ht="15" hidden="false" customHeight="false" outlineLevel="0" collapsed="false">
      <c r="A220" s="25"/>
      <c r="B220" s="26"/>
      <c r="C220" s="27"/>
      <c r="D220" s="28"/>
      <c r="E220" s="28"/>
      <c r="F220" s="29"/>
      <c r="G220" s="29"/>
      <c r="H220" s="29"/>
      <c r="I220" s="29"/>
      <c r="J220" s="29"/>
      <c r="K220" s="29"/>
      <c r="L220" s="30" t="str">
        <f aca="false">IF(A220="","",SUM(G220:K220))</f>
        <v/>
      </c>
      <c r="M220" s="31" t="str">
        <f aca="false">IF(A220="","",IF(F220=0,0,L220/F220))</f>
        <v/>
      </c>
      <c r="N220" s="5" t="str">
        <f aca="false">IF(A220="","",CHOOSE(WEEKDAY(A220,2),"月","火","水","木","金","土","日"))</f>
        <v/>
      </c>
      <c r="O220" s="5" t="str">
        <f aca="false">IF(B220="","",IF(HOUR(B220)&lt;6,"深夜(0-5時)",IF(HOUR(B220)&lt;11,"朝(6-10時)",IF(HOUR(B220)&lt;15,"昼(11-14時)",IF(HOUR(B220)&lt;19,"夕方(15-18時)","夜(19-23時)")))))</f>
        <v/>
      </c>
      <c r="P220" s="32" t="str">
        <f aca="false">IF(M220="","",M220+ROW()/1000000000)</f>
        <v/>
      </c>
    </row>
    <row r="221" customFormat="false" ht="15" hidden="false" customHeight="false" outlineLevel="0" collapsed="false">
      <c r="A221" s="25"/>
      <c r="B221" s="26"/>
      <c r="C221" s="27"/>
      <c r="D221" s="28"/>
      <c r="E221" s="28"/>
      <c r="F221" s="29"/>
      <c r="G221" s="29"/>
      <c r="H221" s="29"/>
      <c r="I221" s="29"/>
      <c r="J221" s="29"/>
      <c r="K221" s="29"/>
      <c r="L221" s="30" t="str">
        <f aca="false">IF(A221="","",SUM(G221:K221))</f>
        <v/>
      </c>
      <c r="M221" s="31" t="str">
        <f aca="false">IF(A221="","",IF(F221=0,0,L221/F221))</f>
        <v/>
      </c>
      <c r="N221" s="5" t="str">
        <f aca="false">IF(A221="","",CHOOSE(WEEKDAY(A221,2),"月","火","水","木","金","土","日"))</f>
        <v/>
      </c>
      <c r="O221" s="5" t="str">
        <f aca="false">IF(B221="","",IF(HOUR(B221)&lt;6,"深夜(0-5時)",IF(HOUR(B221)&lt;11,"朝(6-10時)",IF(HOUR(B221)&lt;15,"昼(11-14時)",IF(HOUR(B221)&lt;19,"夕方(15-18時)","夜(19-23時)")))))</f>
        <v/>
      </c>
      <c r="P221" s="32" t="str">
        <f aca="false">IF(M221="","",M221+ROW()/1000000000)</f>
        <v/>
      </c>
    </row>
    <row r="222" customFormat="false" ht="15" hidden="false" customHeight="false" outlineLevel="0" collapsed="false">
      <c r="A222" s="25"/>
      <c r="B222" s="26"/>
      <c r="C222" s="27"/>
      <c r="D222" s="28"/>
      <c r="E222" s="28"/>
      <c r="F222" s="29"/>
      <c r="G222" s="29"/>
      <c r="H222" s="29"/>
      <c r="I222" s="29"/>
      <c r="J222" s="29"/>
      <c r="K222" s="29"/>
      <c r="L222" s="30" t="str">
        <f aca="false">IF(A222="","",SUM(G222:K222))</f>
        <v/>
      </c>
      <c r="M222" s="31" t="str">
        <f aca="false">IF(A222="","",IF(F222=0,0,L222/F222))</f>
        <v/>
      </c>
      <c r="N222" s="5" t="str">
        <f aca="false">IF(A222="","",CHOOSE(WEEKDAY(A222,2),"月","火","水","木","金","土","日"))</f>
        <v/>
      </c>
      <c r="O222" s="5" t="str">
        <f aca="false">IF(B222="","",IF(HOUR(B222)&lt;6,"深夜(0-5時)",IF(HOUR(B222)&lt;11,"朝(6-10時)",IF(HOUR(B222)&lt;15,"昼(11-14時)",IF(HOUR(B222)&lt;19,"夕方(15-18時)","夜(19-23時)")))))</f>
        <v/>
      </c>
      <c r="P222" s="32" t="str">
        <f aca="false">IF(M222="","",M222+ROW()/1000000000)</f>
        <v/>
      </c>
    </row>
    <row r="223" customFormat="false" ht="15" hidden="false" customHeight="false" outlineLevel="0" collapsed="false">
      <c r="A223" s="25"/>
      <c r="B223" s="26"/>
      <c r="C223" s="27"/>
      <c r="D223" s="28"/>
      <c r="E223" s="28"/>
      <c r="F223" s="29"/>
      <c r="G223" s="29"/>
      <c r="H223" s="29"/>
      <c r="I223" s="29"/>
      <c r="J223" s="29"/>
      <c r="K223" s="29"/>
      <c r="L223" s="30" t="str">
        <f aca="false">IF(A223="","",SUM(G223:K223))</f>
        <v/>
      </c>
      <c r="M223" s="31" t="str">
        <f aca="false">IF(A223="","",IF(F223=0,0,L223/F223))</f>
        <v/>
      </c>
      <c r="N223" s="5" t="str">
        <f aca="false">IF(A223="","",CHOOSE(WEEKDAY(A223,2),"月","火","水","木","金","土","日"))</f>
        <v/>
      </c>
      <c r="O223" s="5" t="str">
        <f aca="false">IF(B223="","",IF(HOUR(B223)&lt;6,"深夜(0-5時)",IF(HOUR(B223)&lt;11,"朝(6-10時)",IF(HOUR(B223)&lt;15,"昼(11-14時)",IF(HOUR(B223)&lt;19,"夕方(15-18時)","夜(19-23時)")))))</f>
        <v/>
      </c>
      <c r="P223" s="32" t="str">
        <f aca="false">IF(M223="","",M223+ROW()/1000000000)</f>
        <v/>
      </c>
    </row>
    <row r="224" customFormat="false" ht="15" hidden="false" customHeight="false" outlineLevel="0" collapsed="false">
      <c r="A224" s="25"/>
      <c r="B224" s="26"/>
      <c r="C224" s="27"/>
      <c r="D224" s="28"/>
      <c r="E224" s="28"/>
      <c r="F224" s="29"/>
      <c r="G224" s="29"/>
      <c r="H224" s="29"/>
      <c r="I224" s="29"/>
      <c r="J224" s="29"/>
      <c r="K224" s="29"/>
      <c r="L224" s="30" t="str">
        <f aca="false">IF(A224="","",SUM(G224:K224))</f>
        <v/>
      </c>
      <c r="M224" s="31" t="str">
        <f aca="false">IF(A224="","",IF(F224=0,0,L224/F224))</f>
        <v/>
      </c>
      <c r="N224" s="5" t="str">
        <f aca="false">IF(A224="","",CHOOSE(WEEKDAY(A224,2),"月","火","水","木","金","土","日"))</f>
        <v/>
      </c>
      <c r="O224" s="5" t="str">
        <f aca="false">IF(B224="","",IF(HOUR(B224)&lt;6,"深夜(0-5時)",IF(HOUR(B224)&lt;11,"朝(6-10時)",IF(HOUR(B224)&lt;15,"昼(11-14時)",IF(HOUR(B224)&lt;19,"夕方(15-18時)","夜(19-23時)")))))</f>
        <v/>
      </c>
      <c r="P224" s="32" t="str">
        <f aca="false">IF(M224="","",M224+ROW()/1000000000)</f>
        <v/>
      </c>
    </row>
    <row r="225" customFormat="false" ht="15" hidden="false" customHeight="false" outlineLevel="0" collapsed="false">
      <c r="A225" s="25"/>
      <c r="B225" s="26"/>
      <c r="C225" s="27"/>
      <c r="D225" s="28"/>
      <c r="E225" s="28"/>
      <c r="F225" s="29"/>
      <c r="G225" s="29"/>
      <c r="H225" s="29"/>
      <c r="I225" s="29"/>
      <c r="J225" s="29"/>
      <c r="K225" s="29"/>
      <c r="L225" s="30" t="str">
        <f aca="false">IF(A225="","",SUM(G225:K225))</f>
        <v/>
      </c>
      <c r="M225" s="31" t="str">
        <f aca="false">IF(A225="","",IF(F225=0,0,L225/F225))</f>
        <v/>
      </c>
      <c r="N225" s="5" t="str">
        <f aca="false">IF(A225="","",CHOOSE(WEEKDAY(A225,2),"月","火","水","木","金","土","日"))</f>
        <v/>
      </c>
      <c r="O225" s="5" t="str">
        <f aca="false">IF(B225="","",IF(HOUR(B225)&lt;6,"深夜(0-5時)",IF(HOUR(B225)&lt;11,"朝(6-10時)",IF(HOUR(B225)&lt;15,"昼(11-14時)",IF(HOUR(B225)&lt;19,"夕方(15-18時)","夜(19-23時)")))))</f>
        <v/>
      </c>
      <c r="P225" s="32" t="str">
        <f aca="false">IF(M225="","",M225+ROW()/1000000000)</f>
        <v/>
      </c>
    </row>
    <row r="226" customFormat="false" ht="15" hidden="false" customHeight="false" outlineLevel="0" collapsed="false">
      <c r="A226" s="25"/>
      <c r="B226" s="26"/>
      <c r="C226" s="27"/>
      <c r="D226" s="28"/>
      <c r="E226" s="28"/>
      <c r="F226" s="29"/>
      <c r="G226" s="29"/>
      <c r="H226" s="29"/>
      <c r="I226" s="29"/>
      <c r="J226" s="29"/>
      <c r="K226" s="29"/>
      <c r="L226" s="30" t="str">
        <f aca="false">IF(A226="","",SUM(G226:K226))</f>
        <v/>
      </c>
      <c r="M226" s="31" t="str">
        <f aca="false">IF(A226="","",IF(F226=0,0,L226/F226))</f>
        <v/>
      </c>
      <c r="N226" s="5" t="str">
        <f aca="false">IF(A226="","",CHOOSE(WEEKDAY(A226,2),"月","火","水","木","金","土","日"))</f>
        <v/>
      </c>
      <c r="O226" s="5" t="str">
        <f aca="false">IF(B226="","",IF(HOUR(B226)&lt;6,"深夜(0-5時)",IF(HOUR(B226)&lt;11,"朝(6-10時)",IF(HOUR(B226)&lt;15,"昼(11-14時)",IF(HOUR(B226)&lt;19,"夕方(15-18時)","夜(19-23時)")))))</f>
        <v/>
      </c>
      <c r="P226" s="32" t="str">
        <f aca="false">IF(M226="","",M226+ROW()/1000000000)</f>
        <v/>
      </c>
    </row>
    <row r="227" customFormat="false" ht="15" hidden="false" customHeight="false" outlineLevel="0" collapsed="false">
      <c r="A227" s="25"/>
      <c r="B227" s="26"/>
      <c r="C227" s="27"/>
      <c r="D227" s="28"/>
      <c r="E227" s="28"/>
      <c r="F227" s="29"/>
      <c r="G227" s="29"/>
      <c r="H227" s="29"/>
      <c r="I227" s="29"/>
      <c r="J227" s="29"/>
      <c r="K227" s="29"/>
      <c r="L227" s="30" t="str">
        <f aca="false">IF(A227="","",SUM(G227:K227))</f>
        <v/>
      </c>
      <c r="M227" s="31" t="str">
        <f aca="false">IF(A227="","",IF(F227=0,0,L227/F227))</f>
        <v/>
      </c>
      <c r="N227" s="5" t="str">
        <f aca="false">IF(A227="","",CHOOSE(WEEKDAY(A227,2),"月","火","水","木","金","土","日"))</f>
        <v/>
      </c>
      <c r="O227" s="5" t="str">
        <f aca="false">IF(B227="","",IF(HOUR(B227)&lt;6,"深夜(0-5時)",IF(HOUR(B227)&lt;11,"朝(6-10時)",IF(HOUR(B227)&lt;15,"昼(11-14時)",IF(HOUR(B227)&lt;19,"夕方(15-18時)","夜(19-23時)")))))</f>
        <v/>
      </c>
      <c r="P227" s="32" t="str">
        <f aca="false">IF(M227="","",M227+ROW()/1000000000)</f>
        <v/>
      </c>
    </row>
    <row r="228" customFormat="false" ht="15" hidden="false" customHeight="false" outlineLevel="0" collapsed="false">
      <c r="A228" s="25"/>
      <c r="B228" s="26"/>
      <c r="C228" s="27"/>
      <c r="D228" s="28"/>
      <c r="E228" s="28"/>
      <c r="F228" s="29"/>
      <c r="G228" s="29"/>
      <c r="H228" s="29"/>
      <c r="I228" s="29"/>
      <c r="J228" s="29"/>
      <c r="K228" s="29"/>
      <c r="L228" s="30" t="str">
        <f aca="false">IF(A228="","",SUM(G228:K228))</f>
        <v/>
      </c>
      <c r="M228" s="31" t="str">
        <f aca="false">IF(A228="","",IF(F228=0,0,L228/F228))</f>
        <v/>
      </c>
      <c r="N228" s="5" t="str">
        <f aca="false">IF(A228="","",CHOOSE(WEEKDAY(A228,2),"月","火","水","木","金","土","日"))</f>
        <v/>
      </c>
      <c r="O228" s="5" t="str">
        <f aca="false">IF(B228="","",IF(HOUR(B228)&lt;6,"深夜(0-5時)",IF(HOUR(B228)&lt;11,"朝(6-10時)",IF(HOUR(B228)&lt;15,"昼(11-14時)",IF(HOUR(B228)&lt;19,"夕方(15-18時)","夜(19-23時)")))))</f>
        <v/>
      </c>
      <c r="P228" s="32" t="str">
        <f aca="false">IF(M228="","",M228+ROW()/1000000000)</f>
        <v/>
      </c>
    </row>
    <row r="229" customFormat="false" ht="15" hidden="false" customHeight="false" outlineLevel="0" collapsed="false">
      <c r="A229" s="25"/>
      <c r="B229" s="26"/>
      <c r="C229" s="27"/>
      <c r="D229" s="28"/>
      <c r="E229" s="28"/>
      <c r="F229" s="29"/>
      <c r="G229" s="29"/>
      <c r="H229" s="29"/>
      <c r="I229" s="29"/>
      <c r="J229" s="29"/>
      <c r="K229" s="29"/>
      <c r="L229" s="30" t="str">
        <f aca="false">IF(A229="","",SUM(G229:K229))</f>
        <v/>
      </c>
      <c r="M229" s="31" t="str">
        <f aca="false">IF(A229="","",IF(F229=0,0,L229/F229))</f>
        <v/>
      </c>
      <c r="N229" s="5" t="str">
        <f aca="false">IF(A229="","",CHOOSE(WEEKDAY(A229,2),"月","火","水","木","金","土","日"))</f>
        <v/>
      </c>
      <c r="O229" s="5" t="str">
        <f aca="false">IF(B229="","",IF(HOUR(B229)&lt;6,"深夜(0-5時)",IF(HOUR(B229)&lt;11,"朝(6-10時)",IF(HOUR(B229)&lt;15,"昼(11-14時)",IF(HOUR(B229)&lt;19,"夕方(15-18時)","夜(19-23時)")))))</f>
        <v/>
      </c>
      <c r="P229" s="32" t="str">
        <f aca="false">IF(M229="","",M229+ROW()/1000000000)</f>
        <v/>
      </c>
    </row>
    <row r="230" customFormat="false" ht="15" hidden="false" customHeight="false" outlineLevel="0" collapsed="false">
      <c r="A230" s="25"/>
      <c r="B230" s="26"/>
      <c r="C230" s="27"/>
      <c r="D230" s="28"/>
      <c r="E230" s="28"/>
      <c r="F230" s="29"/>
      <c r="G230" s="29"/>
      <c r="H230" s="29"/>
      <c r="I230" s="29"/>
      <c r="J230" s="29"/>
      <c r="K230" s="29"/>
      <c r="L230" s="30" t="str">
        <f aca="false">IF(A230="","",SUM(G230:K230))</f>
        <v/>
      </c>
      <c r="M230" s="31" t="str">
        <f aca="false">IF(A230="","",IF(F230=0,0,L230/F230))</f>
        <v/>
      </c>
      <c r="N230" s="5" t="str">
        <f aca="false">IF(A230="","",CHOOSE(WEEKDAY(A230,2),"月","火","水","木","金","土","日"))</f>
        <v/>
      </c>
      <c r="O230" s="5" t="str">
        <f aca="false">IF(B230="","",IF(HOUR(B230)&lt;6,"深夜(0-5時)",IF(HOUR(B230)&lt;11,"朝(6-10時)",IF(HOUR(B230)&lt;15,"昼(11-14時)",IF(HOUR(B230)&lt;19,"夕方(15-18時)","夜(19-23時)")))))</f>
        <v/>
      </c>
      <c r="P230" s="32" t="str">
        <f aca="false">IF(M230="","",M230+ROW()/1000000000)</f>
        <v/>
      </c>
    </row>
    <row r="231" customFormat="false" ht="15" hidden="false" customHeight="false" outlineLevel="0" collapsed="false">
      <c r="A231" s="25"/>
      <c r="B231" s="26"/>
      <c r="C231" s="27"/>
      <c r="D231" s="28"/>
      <c r="E231" s="28"/>
      <c r="F231" s="29"/>
      <c r="G231" s="29"/>
      <c r="H231" s="29"/>
      <c r="I231" s="29"/>
      <c r="J231" s="29"/>
      <c r="K231" s="29"/>
      <c r="L231" s="30" t="str">
        <f aca="false">IF(A231="","",SUM(G231:K231))</f>
        <v/>
      </c>
      <c r="M231" s="31" t="str">
        <f aca="false">IF(A231="","",IF(F231=0,0,L231/F231))</f>
        <v/>
      </c>
      <c r="N231" s="5" t="str">
        <f aca="false">IF(A231="","",CHOOSE(WEEKDAY(A231,2),"月","火","水","木","金","土","日"))</f>
        <v/>
      </c>
      <c r="O231" s="5" t="str">
        <f aca="false">IF(B231="","",IF(HOUR(B231)&lt;6,"深夜(0-5時)",IF(HOUR(B231)&lt;11,"朝(6-10時)",IF(HOUR(B231)&lt;15,"昼(11-14時)",IF(HOUR(B231)&lt;19,"夕方(15-18時)","夜(19-23時)")))))</f>
        <v/>
      </c>
      <c r="P231" s="32" t="str">
        <f aca="false">IF(M231="","",M231+ROW()/1000000000)</f>
        <v/>
      </c>
    </row>
    <row r="232" customFormat="false" ht="15" hidden="false" customHeight="false" outlineLevel="0" collapsed="false">
      <c r="A232" s="25"/>
      <c r="B232" s="26"/>
      <c r="C232" s="27"/>
      <c r="D232" s="28"/>
      <c r="E232" s="28"/>
      <c r="F232" s="29"/>
      <c r="G232" s="29"/>
      <c r="H232" s="29"/>
      <c r="I232" s="29"/>
      <c r="J232" s="29"/>
      <c r="K232" s="29"/>
      <c r="L232" s="30" t="str">
        <f aca="false">IF(A232="","",SUM(G232:K232))</f>
        <v/>
      </c>
      <c r="M232" s="31" t="str">
        <f aca="false">IF(A232="","",IF(F232=0,0,L232/F232))</f>
        <v/>
      </c>
      <c r="N232" s="5" t="str">
        <f aca="false">IF(A232="","",CHOOSE(WEEKDAY(A232,2),"月","火","水","木","金","土","日"))</f>
        <v/>
      </c>
      <c r="O232" s="5" t="str">
        <f aca="false">IF(B232="","",IF(HOUR(B232)&lt;6,"深夜(0-5時)",IF(HOUR(B232)&lt;11,"朝(6-10時)",IF(HOUR(B232)&lt;15,"昼(11-14時)",IF(HOUR(B232)&lt;19,"夕方(15-18時)","夜(19-23時)")))))</f>
        <v/>
      </c>
      <c r="P232" s="32" t="str">
        <f aca="false">IF(M232="","",M232+ROW()/1000000000)</f>
        <v/>
      </c>
    </row>
    <row r="233" customFormat="false" ht="15" hidden="false" customHeight="false" outlineLevel="0" collapsed="false">
      <c r="A233" s="25"/>
      <c r="B233" s="26"/>
      <c r="C233" s="27"/>
      <c r="D233" s="28"/>
      <c r="E233" s="28"/>
      <c r="F233" s="29"/>
      <c r="G233" s="29"/>
      <c r="H233" s="29"/>
      <c r="I233" s="29"/>
      <c r="J233" s="29"/>
      <c r="K233" s="29"/>
      <c r="L233" s="30" t="str">
        <f aca="false">IF(A233="","",SUM(G233:K233))</f>
        <v/>
      </c>
      <c r="M233" s="31" t="str">
        <f aca="false">IF(A233="","",IF(F233=0,0,L233/F233))</f>
        <v/>
      </c>
      <c r="N233" s="5" t="str">
        <f aca="false">IF(A233="","",CHOOSE(WEEKDAY(A233,2),"月","火","水","木","金","土","日"))</f>
        <v/>
      </c>
      <c r="O233" s="5" t="str">
        <f aca="false">IF(B233="","",IF(HOUR(B233)&lt;6,"深夜(0-5時)",IF(HOUR(B233)&lt;11,"朝(6-10時)",IF(HOUR(B233)&lt;15,"昼(11-14時)",IF(HOUR(B233)&lt;19,"夕方(15-18時)","夜(19-23時)")))))</f>
        <v/>
      </c>
      <c r="P233" s="32" t="str">
        <f aca="false">IF(M233="","",M233+ROW()/1000000000)</f>
        <v/>
      </c>
    </row>
    <row r="234" customFormat="false" ht="15" hidden="false" customHeight="false" outlineLevel="0" collapsed="false">
      <c r="A234" s="25"/>
      <c r="B234" s="26"/>
      <c r="C234" s="27"/>
      <c r="D234" s="28"/>
      <c r="E234" s="28"/>
      <c r="F234" s="29"/>
      <c r="G234" s="29"/>
      <c r="H234" s="29"/>
      <c r="I234" s="29"/>
      <c r="J234" s="29"/>
      <c r="K234" s="29"/>
      <c r="L234" s="30" t="str">
        <f aca="false">IF(A234="","",SUM(G234:K234))</f>
        <v/>
      </c>
      <c r="M234" s="31" t="str">
        <f aca="false">IF(A234="","",IF(F234=0,0,L234/F234))</f>
        <v/>
      </c>
      <c r="N234" s="5" t="str">
        <f aca="false">IF(A234="","",CHOOSE(WEEKDAY(A234,2),"月","火","水","木","金","土","日"))</f>
        <v/>
      </c>
      <c r="O234" s="5" t="str">
        <f aca="false">IF(B234="","",IF(HOUR(B234)&lt;6,"深夜(0-5時)",IF(HOUR(B234)&lt;11,"朝(6-10時)",IF(HOUR(B234)&lt;15,"昼(11-14時)",IF(HOUR(B234)&lt;19,"夕方(15-18時)","夜(19-23時)")))))</f>
        <v/>
      </c>
      <c r="P234" s="32" t="str">
        <f aca="false">IF(M234="","",M234+ROW()/1000000000)</f>
        <v/>
      </c>
    </row>
    <row r="235" customFormat="false" ht="15" hidden="false" customHeight="false" outlineLevel="0" collapsed="false">
      <c r="A235" s="25"/>
      <c r="B235" s="26"/>
      <c r="C235" s="27"/>
      <c r="D235" s="28"/>
      <c r="E235" s="28"/>
      <c r="F235" s="29"/>
      <c r="G235" s="29"/>
      <c r="H235" s="29"/>
      <c r="I235" s="29"/>
      <c r="J235" s="29"/>
      <c r="K235" s="29"/>
      <c r="L235" s="30" t="str">
        <f aca="false">IF(A235="","",SUM(G235:K235))</f>
        <v/>
      </c>
      <c r="M235" s="31" t="str">
        <f aca="false">IF(A235="","",IF(F235=0,0,L235/F235))</f>
        <v/>
      </c>
      <c r="N235" s="5" t="str">
        <f aca="false">IF(A235="","",CHOOSE(WEEKDAY(A235,2),"月","火","水","木","金","土","日"))</f>
        <v/>
      </c>
      <c r="O235" s="5" t="str">
        <f aca="false">IF(B235="","",IF(HOUR(B235)&lt;6,"深夜(0-5時)",IF(HOUR(B235)&lt;11,"朝(6-10時)",IF(HOUR(B235)&lt;15,"昼(11-14時)",IF(HOUR(B235)&lt;19,"夕方(15-18時)","夜(19-23時)")))))</f>
        <v/>
      </c>
      <c r="P235" s="32" t="str">
        <f aca="false">IF(M235="","",M235+ROW()/1000000000)</f>
        <v/>
      </c>
    </row>
    <row r="236" customFormat="false" ht="15" hidden="false" customHeight="false" outlineLevel="0" collapsed="false">
      <c r="A236" s="25"/>
      <c r="B236" s="26"/>
      <c r="C236" s="27"/>
      <c r="D236" s="28"/>
      <c r="E236" s="28"/>
      <c r="F236" s="29"/>
      <c r="G236" s="29"/>
      <c r="H236" s="29"/>
      <c r="I236" s="29"/>
      <c r="J236" s="29"/>
      <c r="K236" s="29"/>
      <c r="L236" s="30" t="str">
        <f aca="false">IF(A236="","",SUM(G236:K236))</f>
        <v/>
      </c>
      <c r="M236" s="31" t="str">
        <f aca="false">IF(A236="","",IF(F236=0,0,L236/F236))</f>
        <v/>
      </c>
      <c r="N236" s="5" t="str">
        <f aca="false">IF(A236="","",CHOOSE(WEEKDAY(A236,2),"月","火","水","木","金","土","日"))</f>
        <v/>
      </c>
      <c r="O236" s="5" t="str">
        <f aca="false">IF(B236="","",IF(HOUR(B236)&lt;6,"深夜(0-5時)",IF(HOUR(B236)&lt;11,"朝(6-10時)",IF(HOUR(B236)&lt;15,"昼(11-14時)",IF(HOUR(B236)&lt;19,"夕方(15-18時)","夜(19-23時)")))))</f>
        <v/>
      </c>
      <c r="P236" s="32" t="str">
        <f aca="false">IF(M236="","",M236+ROW()/1000000000)</f>
        <v/>
      </c>
    </row>
    <row r="237" customFormat="false" ht="15" hidden="false" customHeight="false" outlineLevel="0" collapsed="false">
      <c r="A237" s="25"/>
      <c r="B237" s="26"/>
      <c r="C237" s="27"/>
      <c r="D237" s="28"/>
      <c r="E237" s="28"/>
      <c r="F237" s="29"/>
      <c r="G237" s="29"/>
      <c r="H237" s="29"/>
      <c r="I237" s="29"/>
      <c r="J237" s="29"/>
      <c r="K237" s="29"/>
      <c r="L237" s="30" t="str">
        <f aca="false">IF(A237="","",SUM(G237:K237))</f>
        <v/>
      </c>
      <c r="M237" s="31" t="str">
        <f aca="false">IF(A237="","",IF(F237=0,0,L237/F237))</f>
        <v/>
      </c>
      <c r="N237" s="5" t="str">
        <f aca="false">IF(A237="","",CHOOSE(WEEKDAY(A237,2),"月","火","水","木","金","土","日"))</f>
        <v/>
      </c>
      <c r="O237" s="5" t="str">
        <f aca="false">IF(B237="","",IF(HOUR(B237)&lt;6,"深夜(0-5時)",IF(HOUR(B237)&lt;11,"朝(6-10時)",IF(HOUR(B237)&lt;15,"昼(11-14時)",IF(HOUR(B237)&lt;19,"夕方(15-18時)","夜(19-23時)")))))</f>
        <v/>
      </c>
      <c r="P237" s="32" t="str">
        <f aca="false">IF(M237="","",M237+ROW()/1000000000)</f>
        <v/>
      </c>
    </row>
    <row r="238" customFormat="false" ht="15" hidden="false" customHeight="false" outlineLevel="0" collapsed="false">
      <c r="A238" s="25"/>
      <c r="B238" s="26"/>
      <c r="C238" s="27"/>
      <c r="D238" s="28"/>
      <c r="E238" s="28"/>
      <c r="F238" s="29"/>
      <c r="G238" s="29"/>
      <c r="H238" s="29"/>
      <c r="I238" s="29"/>
      <c r="J238" s="29"/>
      <c r="K238" s="29"/>
      <c r="L238" s="30" t="str">
        <f aca="false">IF(A238="","",SUM(G238:K238))</f>
        <v/>
      </c>
      <c r="M238" s="31" t="str">
        <f aca="false">IF(A238="","",IF(F238=0,0,L238/F238))</f>
        <v/>
      </c>
      <c r="N238" s="5" t="str">
        <f aca="false">IF(A238="","",CHOOSE(WEEKDAY(A238,2),"月","火","水","木","金","土","日"))</f>
        <v/>
      </c>
      <c r="O238" s="5" t="str">
        <f aca="false">IF(B238="","",IF(HOUR(B238)&lt;6,"深夜(0-5時)",IF(HOUR(B238)&lt;11,"朝(6-10時)",IF(HOUR(B238)&lt;15,"昼(11-14時)",IF(HOUR(B238)&lt;19,"夕方(15-18時)","夜(19-23時)")))))</f>
        <v/>
      </c>
      <c r="P238" s="32" t="str">
        <f aca="false">IF(M238="","",M238+ROW()/1000000000)</f>
        <v/>
      </c>
    </row>
    <row r="239" customFormat="false" ht="15" hidden="false" customHeight="false" outlineLevel="0" collapsed="false">
      <c r="A239" s="25"/>
      <c r="B239" s="26"/>
      <c r="C239" s="27"/>
      <c r="D239" s="28"/>
      <c r="E239" s="28"/>
      <c r="F239" s="29"/>
      <c r="G239" s="29"/>
      <c r="H239" s="29"/>
      <c r="I239" s="29"/>
      <c r="J239" s="29"/>
      <c r="K239" s="29"/>
      <c r="L239" s="30" t="str">
        <f aca="false">IF(A239="","",SUM(G239:K239))</f>
        <v/>
      </c>
      <c r="M239" s="31" t="str">
        <f aca="false">IF(A239="","",IF(F239=0,0,L239/F239))</f>
        <v/>
      </c>
      <c r="N239" s="5" t="str">
        <f aca="false">IF(A239="","",CHOOSE(WEEKDAY(A239,2),"月","火","水","木","金","土","日"))</f>
        <v/>
      </c>
      <c r="O239" s="5" t="str">
        <f aca="false">IF(B239="","",IF(HOUR(B239)&lt;6,"深夜(0-5時)",IF(HOUR(B239)&lt;11,"朝(6-10時)",IF(HOUR(B239)&lt;15,"昼(11-14時)",IF(HOUR(B239)&lt;19,"夕方(15-18時)","夜(19-23時)")))))</f>
        <v/>
      </c>
      <c r="P239" s="32" t="str">
        <f aca="false">IF(M239="","",M239+ROW()/1000000000)</f>
        <v/>
      </c>
    </row>
    <row r="240" customFormat="false" ht="15" hidden="false" customHeight="false" outlineLevel="0" collapsed="false">
      <c r="A240" s="25"/>
      <c r="B240" s="26"/>
      <c r="C240" s="27"/>
      <c r="D240" s="28"/>
      <c r="E240" s="28"/>
      <c r="F240" s="29"/>
      <c r="G240" s="29"/>
      <c r="H240" s="29"/>
      <c r="I240" s="29"/>
      <c r="J240" s="29"/>
      <c r="K240" s="29"/>
      <c r="L240" s="30" t="str">
        <f aca="false">IF(A240="","",SUM(G240:K240))</f>
        <v/>
      </c>
      <c r="M240" s="31" t="str">
        <f aca="false">IF(A240="","",IF(F240=0,0,L240/F240))</f>
        <v/>
      </c>
      <c r="N240" s="5" t="str">
        <f aca="false">IF(A240="","",CHOOSE(WEEKDAY(A240,2),"月","火","水","木","金","土","日"))</f>
        <v/>
      </c>
      <c r="O240" s="5" t="str">
        <f aca="false">IF(B240="","",IF(HOUR(B240)&lt;6,"深夜(0-5時)",IF(HOUR(B240)&lt;11,"朝(6-10時)",IF(HOUR(B240)&lt;15,"昼(11-14時)",IF(HOUR(B240)&lt;19,"夕方(15-18時)","夜(19-23時)")))))</f>
        <v/>
      </c>
      <c r="P240" s="32" t="str">
        <f aca="false">IF(M240="","",M240+ROW()/1000000000)</f>
        <v/>
      </c>
    </row>
    <row r="241" customFormat="false" ht="15" hidden="false" customHeight="false" outlineLevel="0" collapsed="false">
      <c r="A241" s="25"/>
      <c r="B241" s="26"/>
      <c r="C241" s="27"/>
      <c r="D241" s="28"/>
      <c r="E241" s="28"/>
      <c r="F241" s="29"/>
      <c r="G241" s="29"/>
      <c r="H241" s="29"/>
      <c r="I241" s="29"/>
      <c r="J241" s="29"/>
      <c r="K241" s="29"/>
      <c r="L241" s="30" t="str">
        <f aca="false">IF(A241="","",SUM(G241:K241))</f>
        <v/>
      </c>
      <c r="M241" s="31" t="str">
        <f aca="false">IF(A241="","",IF(F241=0,0,L241/F241))</f>
        <v/>
      </c>
      <c r="N241" s="5" t="str">
        <f aca="false">IF(A241="","",CHOOSE(WEEKDAY(A241,2),"月","火","水","木","金","土","日"))</f>
        <v/>
      </c>
      <c r="O241" s="5" t="str">
        <f aca="false">IF(B241="","",IF(HOUR(B241)&lt;6,"深夜(0-5時)",IF(HOUR(B241)&lt;11,"朝(6-10時)",IF(HOUR(B241)&lt;15,"昼(11-14時)",IF(HOUR(B241)&lt;19,"夕方(15-18時)","夜(19-23時)")))))</f>
        <v/>
      </c>
      <c r="P241" s="32" t="str">
        <f aca="false">IF(M241="","",M241+ROW()/1000000000)</f>
        <v/>
      </c>
    </row>
    <row r="242" customFormat="false" ht="15" hidden="false" customHeight="false" outlineLevel="0" collapsed="false">
      <c r="A242" s="25"/>
      <c r="B242" s="26"/>
      <c r="C242" s="27"/>
      <c r="D242" s="28"/>
      <c r="E242" s="28"/>
      <c r="F242" s="29"/>
      <c r="G242" s="29"/>
      <c r="H242" s="29"/>
      <c r="I242" s="29"/>
      <c r="J242" s="29"/>
      <c r="K242" s="29"/>
      <c r="L242" s="30" t="str">
        <f aca="false">IF(A242="","",SUM(G242:K242))</f>
        <v/>
      </c>
      <c r="M242" s="31" t="str">
        <f aca="false">IF(A242="","",IF(F242=0,0,L242/F242))</f>
        <v/>
      </c>
      <c r="N242" s="5" t="str">
        <f aca="false">IF(A242="","",CHOOSE(WEEKDAY(A242,2),"月","火","水","木","金","土","日"))</f>
        <v/>
      </c>
      <c r="O242" s="5" t="str">
        <f aca="false">IF(B242="","",IF(HOUR(B242)&lt;6,"深夜(0-5時)",IF(HOUR(B242)&lt;11,"朝(6-10時)",IF(HOUR(B242)&lt;15,"昼(11-14時)",IF(HOUR(B242)&lt;19,"夕方(15-18時)","夜(19-23時)")))))</f>
        <v/>
      </c>
      <c r="P242" s="32" t="str">
        <f aca="false">IF(M242="","",M242+ROW()/1000000000)</f>
        <v/>
      </c>
    </row>
    <row r="243" customFormat="false" ht="15" hidden="false" customHeight="false" outlineLevel="0" collapsed="false">
      <c r="A243" s="25"/>
      <c r="B243" s="26"/>
      <c r="C243" s="27"/>
      <c r="D243" s="28"/>
      <c r="E243" s="28"/>
      <c r="F243" s="29"/>
      <c r="G243" s="29"/>
      <c r="H243" s="29"/>
      <c r="I243" s="29"/>
      <c r="J243" s="29"/>
      <c r="K243" s="29"/>
      <c r="L243" s="30" t="str">
        <f aca="false">IF(A243="","",SUM(G243:K243))</f>
        <v/>
      </c>
      <c r="M243" s="31" t="str">
        <f aca="false">IF(A243="","",IF(F243=0,0,L243/F243))</f>
        <v/>
      </c>
      <c r="N243" s="5" t="str">
        <f aca="false">IF(A243="","",CHOOSE(WEEKDAY(A243,2),"月","火","水","木","金","土","日"))</f>
        <v/>
      </c>
      <c r="O243" s="5" t="str">
        <f aca="false">IF(B243="","",IF(HOUR(B243)&lt;6,"深夜(0-5時)",IF(HOUR(B243)&lt;11,"朝(6-10時)",IF(HOUR(B243)&lt;15,"昼(11-14時)",IF(HOUR(B243)&lt;19,"夕方(15-18時)","夜(19-23時)")))))</f>
        <v/>
      </c>
      <c r="P243" s="32" t="str">
        <f aca="false">IF(M243="","",M243+ROW()/1000000000)</f>
        <v/>
      </c>
    </row>
    <row r="244" customFormat="false" ht="15" hidden="false" customHeight="false" outlineLevel="0" collapsed="false">
      <c r="A244" s="25"/>
      <c r="B244" s="26"/>
      <c r="C244" s="27"/>
      <c r="D244" s="28"/>
      <c r="E244" s="28"/>
      <c r="F244" s="29"/>
      <c r="G244" s="29"/>
      <c r="H244" s="29"/>
      <c r="I244" s="29"/>
      <c r="J244" s="29"/>
      <c r="K244" s="29"/>
      <c r="L244" s="30" t="str">
        <f aca="false">IF(A244="","",SUM(G244:K244))</f>
        <v/>
      </c>
      <c r="M244" s="31" t="str">
        <f aca="false">IF(A244="","",IF(F244=0,0,L244/F244))</f>
        <v/>
      </c>
      <c r="N244" s="5" t="str">
        <f aca="false">IF(A244="","",CHOOSE(WEEKDAY(A244,2),"月","火","水","木","金","土","日"))</f>
        <v/>
      </c>
      <c r="O244" s="5" t="str">
        <f aca="false">IF(B244="","",IF(HOUR(B244)&lt;6,"深夜(0-5時)",IF(HOUR(B244)&lt;11,"朝(6-10時)",IF(HOUR(B244)&lt;15,"昼(11-14時)",IF(HOUR(B244)&lt;19,"夕方(15-18時)","夜(19-23時)")))))</f>
        <v/>
      </c>
      <c r="P244" s="32" t="str">
        <f aca="false">IF(M244="","",M244+ROW()/1000000000)</f>
        <v/>
      </c>
    </row>
    <row r="245" customFormat="false" ht="15" hidden="false" customHeight="false" outlineLevel="0" collapsed="false">
      <c r="A245" s="25"/>
      <c r="B245" s="26"/>
      <c r="C245" s="27"/>
      <c r="D245" s="28"/>
      <c r="E245" s="28"/>
      <c r="F245" s="29"/>
      <c r="G245" s="29"/>
      <c r="H245" s="29"/>
      <c r="I245" s="29"/>
      <c r="J245" s="29"/>
      <c r="K245" s="29"/>
      <c r="L245" s="30" t="str">
        <f aca="false">IF(A245="","",SUM(G245:K245))</f>
        <v/>
      </c>
      <c r="M245" s="31" t="str">
        <f aca="false">IF(A245="","",IF(F245=0,0,L245/F245))</f>
        <v/>
      </c>
      <c r="N245" s="5" t="str">
        <f aca="false">IF(A245="","",CHOOSE(WEEKDAY(A245,2),"月","火","水","木","金","土","日"))</f>
        <v/>
      </c>
      <c r="O245" s="5" t="str">
        <f aca="false">IF(B245="","",IF(HOUR(B245)&lt;6,"深夜(0-5時)",IF(HOUR(B245)&lt;11,"朝(6-10時)",IF(HOUR(B245)&lt;15,"昼(11-14時)",IF(HOUR(B245)&lt;19,"夕方(15-18時)","夜(19-23時)")))))</f>
        <v/>
      </c>
      <c r="P245" s="32" t="str">
        <f aca="false">IF(M245="","",M245+ROW()/1000000000)</f>
        <v/>
      </c>
    </row>
    <row r="246" customFormat="false" ht="15" hidden="false" customHeight="false" outlineLevel="0" collapsed="false">
      <c r="A246" s="25"/>
      <c r="B246" s="26"/>
      <c r="C246" s="27"/>
      <c r="D246" s="28"/>
      <c r="E246" s="28"/>
      <c r="F246" s="29"/>
      <c r="G246" s="29"/>
      <c r="H246" s="29"/>
      <c r="I246" s="29"/>
      <c r="J246" s="29"/>
      <c r="K246" s="29"/>
      <c r="L246" s="30" t="str">
        <f aca="false">IF(A246="","",SUM(G246:K246))</f>
        <v/>
      </c>
      <c r="M246" s="31" t="str">
        <f aca="false">IF(A246="","",IF(F246=0,0,L246/F246))</f>
        <v/>
      </c>
      <c r="N246" s="5" t="str">
        <f aca="false">IF(A246="","",CHOOSE(WEEKDAY(A246,2),"月","火","水","木","金","土","日"))</f>
        <v/>
      </c>
      <c r="O246" s="5" t="str">
        <f aca="false">IF(B246="","",IF(HOUR(B246)&lt;6,"深夜(0-5時)",IF(HOUR(B246)&lt;11,"朝(6-10時)",IF(HOUR(B246)&lt;15,"昼(11-14時)",IF(HOUR(B246)&lt;19,"夕方(15-18時)","夜(19-23時)")))))</f>
        <v/>
      </c>
      <c r="P246" s="32" t="str">
        <f aca="false">IF(M246="","",M246+ROW()/1000000000)</f>
        <v/>
      </c>
    </row>
    <row r="247" customFormat="false" ht="15" hidden="false" customHeight="false" outlineLevel="0" collapsed="false">
      <c r="A247" s="25"/>
      <c r="B247" s="26"/>
      <c r="C247" s="27"/>
      <c r="D247" s="28"/>
      <c r="E247" s="28"/>
      <c r="F247" s="29"/>
      <c r="G247" s="29"/>
      <c r="H247" s="29"/>
      <c r="I247" s="29"/>
      <c r="J247" s="29"/>
      <c r="K247" s="29"/>
      <c r="L247" s="30" t="str">
        <f aca="false">IF(A247="","",SUM(G247:K247))</f>
        <v/>
      </c>
      <c r="M247" s="31" t="str">
        <f aca="false">IF(A247="","",IF(F247=0,0,L247/F247))</f>
        <v/>
      </c>
      <c r="N247" s="5" t="str">
        <f aca="false">IF(A247="","",CHOOSE(WEEKDAY(A247,2),"月","火","水","木","金","土","日"))</f>
        <v/>
      </c>
      <c r="O247" s="5" t="str">
        <f aca="false">IF(B247="","",IF(HOUR(B247)&lt;6,"深夜(0-5時)",IF(HOUR(B247)&lt;11,"朝(6-10時)",IF(HOUR(B247)&lt;15,"昼(11-14時)",IF(HOUR(B247)&lt;19,"夕方(15-18時)","夜(19-23時)")))))</f>
        <v/>
      </c>
      <c r="P247" s="32" t="str">
        <f aca="false">IF(M247="","",M247+ROW()/1000000000)</f>
        <v/>
      </c>
    </row>
    <row r="248" customFormat="false" ht="15" hidden="false" customHeight="false" outlineLevel="0" collapsed="false">
      <c r="A248" s="25"/>
      <c r="B248" s="26"/>
      <c r="C248" s="27"/>
      <c r="D248" s="28"/>
      <c r="E248" s="28"/>
      <c r="F248" s="29"/>
      <c r="G248" s="29"/>
      <c r="H248" s="29"/>
      <c r="I248" s="29"/>
      <c r="J248" s="29"/>
      <c r="K248" s="29"/>
      <c r="L248" s="30" t="str">
        <f aca="false">IF(A248="","",SUM(G248:K248))</f>
        <v/>
      </c>
      <c r="M248" s="31" t="str">
        <f aca="false">IF(A248="","",IF(F248=0,0,L248/F248))</f>
        <v/>
      </c>
      <c r="N248" s="5" t="str">
        <f aca="false">IF(A248="","",CHOOSE(WEEKDAY(A248,2),"月","火","水","木","金","土","日"))</f>
        <v/>
      </c>
      <c r="O248" s="5" t="str">
        <f aca="false">IF(B248="","",IF(HOUR(B248)&lt;6,"深夜(0-5時)",IF(HOUR(B248)&lt;11,"朝(6-10時)",IF(HOUR(B248)&lt;15,"昼(11-14時)",IF(HOUR(B248)&lt;19,"夕方(15-18時)","夜(19-23時)")))))</f>
        <v/>
      </c>
      <c r="P248" s="32" t="str">
        <f aca="false">IF(M248="","",M248+ROW()/1000000000)</f>
        <v/>
      </c>
    </row>
    <row r="249" customFormat="false" ht="15" hidden="false" customHeight="false" outlineLevel="0" collapsed="false">
      <c r="A249" s="25"/>
      <c r="B249" s="26"/>
      <c r="C249" s="27"/>
      <c r="D249" s="28"/>
      <c r="E249" s="28"/>
      <c r="F249" s="29"/>
      <c r="G249" s="29"/>
      <c r="H249" s="29"/>
      <c r="I249" s="29"/>
      <c r="J249" s="29"/>
      <c r="K249" s="29"/>
      <c r="L249" s="30" t="str">
        <f aca="false">IF(A249="","",SUM(G249:K249))</f>
        <v/>
      </c>
      <c r="M249" s="31" t="str">
        <f aca="false">IF(A249="","",IF(F249=0,0,L249/F249))</f>
        <v/>
      </c>
      <c r="N249" s="5" t="str">
        <f aca="false">IF(A249="","",CHOOSE(WEEKDAY(A249,2),"月","火","水","木","金","土","日"))</f>
        <v/>
      </c>
      <c r="O249" s="5" t="str">
        <f aca="false">IF(B249="","",IF(HOUR(B249)&lt;6,"深夜(0-5時)",IF(HOUR(B249)&lt;11,"朝(6-10時)",IF(HOUR(B249)&lt;15,"昼(11-14時)",IF(HOUR(B249)&lt;19,"夕方(15-18時)","夜(19-23時)")))))</f>
        <v/>
      </c>
      <c r="P249" s="32" t="str">
        <f aca="false">IF(M249="","",M249+ROW()/1000000000)</f>
        <v/>
      </c>
    </row>
    <row r="250" customFormat="false" ht="15" hidden="false" customHeight="false" outlineLevel="0" collapsed="false">
      <c r="A250" s="25"/>
      <c r="B250" s="26"/>
      <c r="C250" s="27"/>
      <c r="D250" s="28"/>
      <c r="E250" s="28"/>
      <c r="F250" s="29"/>
      <c r="G250" s="29"/>
      <c r="H250" s="29"/>
      <c r="I250" s="29"/>
      <c r="J250" s="29"/>
      <c r="K250" s="29"/>
      <c r="L250" s="30" t="str">
        <f aca="false">IF(A250="","",SUM(G250:K250))</f>
        <v/>
      </c>
      <c r="M250" s="31" t="str">
        <f aca="false">IF(A250="","",IF(F250=0,0,L250/F250))</f>
        <v/>
      </c>
      <c r="N250" s="5" t="str">
        <f aca="false">IF(A250="","",CHOOSE(WEEKDAY(A250,2),"月","火","水","木","金","土","日"))</f>
        <v/>
      </c>
      <c r="O250" s="5" t="str">
        <f aca="false">IF(B250="","",IF(HOUR(B250)&lt;6,"深夜(0-5時)",IF(HOUR(B250)&lt;11,"朝(6-10時)",IF(HOUR(B250)&lt;15,"昼(11-14時)",IF(HOUR(B250)&lt;19,"夕方(15-18時)","夜(19-23時)")))))</f>
        <v/>
      </c>
      <c r="P250" s="32" t="str">
        <f aca="false">IF(M250="","",M250+ROW()/1000000000)</f>
        <v/>
      </c>
    </row>
    <row r="251" customFormat="false" ht="15" hidden="false" customHeight="false" outlineLevel="0" collapsed="false">
      <c r="A251" s="25"/>
      <c r="B251" s="26"/>
      <c r="C251" s="27"/>
      <c r="D251" s="28"/>
      <c r="E251" s="28"/>
      <c r="F251" s="29"/>
      <c r="G251" s="29"/>
      <c r="H251" s="29"/>
      <c r="I251" s="29"/>
      <c r="J251" s="29"/>
      <c r="K251" s="29"/>
      <c r="L251" s="30" t="str">
        <f aca="false">IF(A251="","",SUM(G251:K251))</f>
        <v/>
      </c>
      <c r="M251" s="31" t="str">
        <f aca="false">IF(A251="","",IF(F251=0,0,L251/F251))</f>
        <v/>
      </c>
      <c r="N251" s="5" t="str">
        <f aca="false">IF(A251="","",CHOOSE(WEEKDAY(A251,2),"月","火","水","木","金","土","日"))</f>
        <v/>
      </c>
      <c r="O251" s="5" t="str">
        <f aca="false">IF(B251="","",IF(HOUR(B251)&lt;6,"深夜(0-5時)",IF(HOUR(B251)&lt;11,"朝(6-10時)",IF(HOUR(B251)&lt;15,"昼(11-14時)",IF(HOUR(B251)&lt;19,"夕方(15-18時)","夜(19-23時)")))))</f>
        <v/>
      </c>
      <c r="P251" s="32" t="str">
        <f aca="false">IF(M251="","",M251+ROW()/1000000000)</f>
        <v/>
      </c>
    </row>
    <row r="252" customFormat="false" ht="15" hidden="false" customHeight="false" outlineLevel="0" collapsed="false">
      <c r="A252" s="25"/>
      <c r="B252" s="26"/>
      <c r="C252" s="27"/>
      <c r="D252" s="28"/>
      <c r="E252" s="28"/>
      <c r="F252" s="29"/>
      <c r="G252" s="29"/>
      <c r="H252" s="29"/>
      <c r="I252" s="29"/>
      <c r="J252" s="29"/>
      <c r="K252" s="29"/>
      <c r="L252" s="30" t="str">
        <f aca="false">IF(A252="","",SUM(G252:K252))</f>
        <v/>
      </c>
      <c r="M252" s="31" t="str">
        <f aca="false">IF(A252="","",IF(F252=0,0,L252/F252))</f>
        <v/>
      </c>
      <c r="N252" s="5" t="str">
        <f aca="false">IF(A252="","",CHOOSE(WEEKDAY(A252,2),"月","火","水","木","金","土","日"))</f>
        <v/>
      </c>
      <c r="O252" s="5" t="str">
        <f aca="false">IF(B252="","",IF(HOUR(B252)&lt;6,"深夜(0-5時)",IF(HOUR(B252)&lt;11,"朝(6-10時)",IF(HOUR(B252)&lt;15,"昼(11-14時)",IF(HOUR(B252)&lt;19,"夕方(15-18時)","夜(19-23時)")))))</f>
        <v/>
      </c>
      <c r="P252" s="32" t="str">
        <f aca="false">IF(M252="","",M252+ROW()/1000000000)</f>
        <v/>
      </c>
    </row>
    <row r="253" customFormat="false" ht="15" hidden="false" customHeight="false" outlineLevel="0" collapsed="false">
      <c r="A253" s="25"/>
      <c r="B253" s="26"/>
      <c r="C253" s="27"/>
      <c r="D253" s="28"/>
      <c r="E253" s="28"/>
      <c r="F253" s="29"/>
      <c r="G253" s="29"/>
      <c r="H253" s="29"/>
      <c r="I253" s="29"/>
      <c r="J253" s="29"/>
      <c r="K253" s="29"/>
      <c r="L253" s="30" t="str">
        <f aca="false">IF(A253="","",SUM(G253:K253))</f>
        <v/>
      </c>
      <c r="M253" s="31" t="str">
        <f aca="false">IF(A253="","",IF(F253=0,0,L253/F253))</f>
        <v/>
      </c>
      <c r="N253" s="5" t="str">
        <f aca="false">IF(A253="","",CHOOSE(WEEKDAY(A253,2),"月","火","水","木","金","土","日"))</f>
        <v/>
      </c>
      <c r="O253" s="5" t="str">
        <f aca="false">IF(B253="","",IF(HOUR(B253)&lt;6,"深夜(0-5時)",IF(HOUR(B253)&lt;11,"朝(6-10時)",IF(HOUR(B253)&lt;15,"昼(11-14時)",IF(HOUR(B253)&lt;19,"夕方(15-18時)","夜(19-23時)")))))</f>
        <v/>
      </c>
      <c r="P253" s="32" t="str">
        <f aca="false">IF(M253="","",M253+ROW()/1000000000)</f>
        <v/>
      </c>
    </row>
    <row r="254" customFormat="false" ht="15" hidden="false" customHeight="false" outlineLevel="0" collapsed="false">
      <c r="A254" s="25"/>
      <c r="B254" s="26"/>
      <c r="C254" s="27"/>
      <c r="D254" s="28"/>
      <c r="E254" s="28"/>
      <c r="F254" s="29"/>
      <c r="G254" s="29"/>
      <c r="H254" s="29"/>
      <c r="I254" s="29"/>
      <c r="J254" s="29"/>
      <c r="K254" s="29"/>
      <c r="L254" s="30" t="str">
        <f aca="false">IF(A254="","",SUM(G254:K254))</f>
        <v/>
      </c>
      <c r="M254" s="31" t="str">
        <f aca="false">IF(A254="","",IF(F254=0,0,L254/F254))</f>
        <v/>
      </c>
      <c r="N254" s="5" t="str">
        <f aca="false">IF(A254="","",CHOOSE(WEEKDAY(A254,2),"月","火","水","木","金","土","日"))</f>
        <v/>
      </c>
      <c r="O254" s="5" t="str">
        <f aca="false">IF(B254="","",IF(HOUR(B254)&lt;6,"深夜(0-5時)",IF(HOUR(B254)&lt;11,"朝(6-10時)",IF(HOUR(B254)&lt;15,"昼(11-14時)",IF(HOUR(B254)&lt;19,"夕方(15-18時)","夜(19-23時)")))))</f>
        <v/>
      </c>
      <c r="P254" s="32" t="str">
        <f aca="false">IF(M254="","",M254+ROW()/1000000000)</f>
        <v/>
      </c>
    </row>
    <row r="255" customFormat="false" ht="15" hidden="false" customHeight="false" outlineLevel="0" collapsed="false">
      <c r="A255" s="25"/>
      <c r="B255" s="26"/>
      <c r="C255" s="27"/>
      <c r="D255" s="28"/>
      <c r="E255" s="28"/>
      <c r="F255" s="29"/>
      <c r="G255" s="29"/>
      <c r="H255" s="29"/>
      <c r="I255" s="29"/>
      <c r="J255" s="29"/>
      <c r="K255" s="29"/>
      <c r="L255" s="30" t="str">
        <f aca="false">IF(A255="","",SUM(G255:K255))</f>
        <v/>
      </c>
      <c r="M255" s="31" t="str">
        <f aca="false">IF(A255="","",IF(F255=0,0,L255/F255))</f>
        <v/>
      </c>
      <c r="N255" s="5" t="str">
        <f aca="false">IF(A255="","",CHOOSE(WEEKDAY(A255,2),"月","火","水","木","金","土","日"))</f>
        <v/>
      </c>
      <c r="O255" s="5" t="str">
        <f aca="false">IF(B255="","",IF(HOUR(B255)&lt;6,"深夜(0-5時)",IF(HOUR(B255)&lt;11,"朝(6-10時)",IF(HOUR(B255)&lt;15,"昼(11-14時)",IF(HOUR(B255)&lt;19,"夕方(15-18時)","夜(19-23時)")))))</f>
        <v/>
      </c>
      <c r="P255" s="32" t="str">
        <f aca="false">IF(M255="","",M255+ROW()/1000000000)</f>
        <v/>
      </c>
    </row>
    <row r="256" customFormat="false" ht="15" hidden="false" customHeight="false" outlineLevel="0" collapsed="false">
      <c r="A256" s="25"/>
      <c r="B256" s="26"/>
      <c r="C256" s="27"/>
      <c r="D256" s="28"/>
      <c r="E256" s="28"/>
      <c r="F256" s="29"/>
      <c r="G256" s="29"/>
      <c r="H256" s="29"/>
      <c r="I256" s="29"/>
      <c r="J256" s="29"/>
      <c r="K256" s="29"/>
      <c r="L256" s="30" t="str">
        <f aca="false">IF(A256="","",SUM(G256:K256))</f>
        <v/>
      </c>
      <c r="M256" s="31" t="str">
        <f aca="false">IF(A256="","",IF(F256=0,0,L256/F256))</f>
        <v/>
      </c>
      <c r="N256" s="5" t="str">
        <f aca="false">IF(A256="","",CHOOSE(WEEKDAY(A256,2),"月","火","水","木","金","土","日"))</f>
        <v/>
      </c>
      <c r="O256" s="5" t="str">
        <f aca="false">IF(B256="","",IF(HOUR(B256)&lt;6,"深夜(0-5時)",IF(HOUR(B256)&lt;11,"朝(6-10時)",IF(HOUR(B256)&lt;15,"昼(11-14時)",IF(HOUR(B256)&lt;19,"夕方(15-18時)","夜(19-23時)")))))</f>
        <v/>
      </c>
      <c r="P256" s="32" t="str">
        <f aca="false">IF(M256="","",M256+ROW()/1000000000)</f>
        <v/>
      </c>
    </row>
    <row r="257" customFormat="false" ht="15" hidden="false" customHeight="false" outlineLevel="0" collapsed="false">
      <c r="A257" s="25"/>
      <c r="B257" s="26"/>
      <c r="C257" s="27"/>
      <c r="D257" s="28"/>
      <c r="E257" s="28"/>
      <c r="F257" s="29"/>
      <c r="G257" s="29"/>
      <c r="H257" s="29"/>
      <c r="I257" s="29"/>
      <c r="J257" s="29"/>
      <c r="K257" s="29"/>
      <c r="L257" s="30" t="str">
        <f aca="false">IF(A257="","",SUM(G257:K257))</f>
        <v/>
      </c>
      <c r="M257" s="31" t="str">
        <f aca="false">IF(A257="","",IF(F257=0,0,L257/F257))</f>
        <v/>
      </c>
      <c r="N257" s="5" t="str">
        <f aca="false">IF(A257="","",CHOOSE(WEEKDAY(A257,2),"月","火","水","木","金","土","日"))</f>
        <v/>
      </c>
      <c r="O257" s="5" t="str">
        <f aca="false">IF(B257="","",IF(HOUR(B257)&lt;6,"深夜(0-5時)",IF(HOUR(B257)&lt;11,"朝(6-10時)",IF(HOUR(B257)&lt;15,"昼(11-14時)",IF(HOUR(B257)&lt;19,"夕方(15-18時)","夜(19-23時)")))))</f>
        <v/>
      </c>
      <c r="P257" s="32" t="str">
        <f aca="false">IF(M257="","",M257+ROW()/1000000000)</f>
        <v/>
      </c>
    </row>
    <row r="258" customFormat="false" ht="15" hidden="false" customHeight="false" outlineLevel="0" collapsed="false">
      <c r="A258" s="25"/>
      <c r="B258" s="26"/>
      <c r="C258" s="27"/>
      <c r="D258" s="28"/>
      <c r="E258" s="28"/>
      <c r="F258" s="29"/>
      <c r="G258" s="29"/>
      <c r="H258" s="29"/>
      <c r="I258" s="29"/>
      <c r="J258" s="29"/>
      <c r="K258" s="29"/>
      <c r="L258" s="30" t="str">
        <f aca="false">IF(A258="","",SUM(G258:K258))</f>
        <v/>
      </c>
      <c r="M258" s="31" t="str">
        <f aca="false">IF(A258="","",IF(F258=0,0,L258/F258))</f>
        <v/>
      </c>
      <c r="N258" s="5" t="str">
        <f aca="false">IF(A258="","",CHOOSE(WEEKDAY(A258,2),"月","火","水","木","金","土","日"))</f>
        <v/>
      </c>
      <c r="O258" s="5" t="str">
        <f aca="false">IF(B258="","",IF(HOUR(B258)&lt;6,"深夜(0-5時)",IF(HOUR(B258)&lt;11,"朝(6-10時)",IF(HOUR(B258)&lt;15,"昼(11-14時)",IF(HOUR(B258)&lt;19,"夕方(15-18時)","夜(19-23時)")))))</f>
        <v/>
      </c>
      <c r="P258" s="32" t="str">
        <f aca="false">IF(M258="","",M258+ROW()/1000000000)</f>
        <v/>
      </c>
    </row>
    <row r="259" customFormat="false" ht="15" hidden="false" customHeight="false" outlineLevel="0" collapsed="false">
      <c r="A259" s="25"/>
      <c r="B259" s="26"/>
      <c r="C259" s="27"/>
      <c r="D259" s="28"/>
      <c r="E259" s="28"/>
      <c r="F259" s="29"/>
      <c r="G259" s="29"/>
      <c r="H259" s="29"/>
      <c r="I259" s="29"/>
      <c r="J259" s="29"/>
      <c r="K259" s="29"/>
      <c r="L259" s="30" t="str">
        <f aca="false">IF(A259="","",SUM(G259:K259))</f>
        <v/>
      </c>
      <c r="M259" s="31" t="str">
        <f aca="false">IF(A259="","",IF(F259=0,0,L259/F259))</f>
        <v/>
      </c>
      <c r="N259" s="5" t="str">
        <f aca="false">IF(A259="","",CHOOSE(WEEKDAY(A259,2),"月","火","水","木","金","土","日"))</f>
        <v/>
      </c>
      <c r="O259" s="5" t="str">
        <f aca="false">IF(B259="","",IF(HOUR(B259)&lt;6,"深夜(0-5時)",IF(HOUR(B259)&lt;11,"朝(6-10時)",IF(HOUR(B259)&lt;15,"昼(11-14時)",IF(HOUR(B259)&lt;19,"夕方(15-18時)","夜(19-23時)")))))</f>
        <v/>
      </c>
      <c r="P259" s="32" t="str">
        <f aca="false">IF(M259="","",M259+ROW()/1000000000)</f>
        <v/>
      </c>
    </row>
    <row r="260" customFormat="false" ht="15" hidden="false" customHeight="false" outlineLevel="0" collapsed="false">
      <c r="A260" s="25"/>
      <c r="B260" s="26"/>
      <c r="C260" s="27"/>
      <c r="D260" s="28"/>
      <c r="E260" s="28"/>
      <c r="F260" s="29"/>
      <c r="G260" s="29"/>
      <c r="H260" s="29"/>
      <c r="I260" s="29"/>
      <c r="J260" s="29"/>
      <c r="K260" s="29"/>
      <c r="L260" s="30" t="str">
        <f aca="false">IF(A260="","",SUM(G260:K260))</f>
        <v/>
      </c>
      <c r="M260" s="31" t="str">
        <f aca="false">IF(A260="","",IF(F260=0,0,L260/F260))</f>
        <v/>
      </c>
      <c r="N260" s="5" t="str">
        <f aca="false">IF(A260="","",CHOOSE(WEEKDAY(A260,2),"月","火","水","木","金","土","日"))</f>
        <v/>
      </c>
      <c r="O260" s="5" t="str">
        <f aca="false">IF(B260="","",IF(HOUR(B260)&lt;6,"深夜(0-5時)",IF(HOUR(B260)&lt;11,"朝(6-10時)",IF(HOUR(B260)&lt;15,"昼(11-14時)",IF(HOUR(B260)&lt;19,"夕方(15-18時)","夜(19-23時)")))))</f>
        <v/>
      </c>
      <c r="P260" s="32" t="str">
        <f aca="false">IF(M260="","",M260+ROW()/1000000000)</f>
        <v/>
      </c>
    </row>
    <row r="261" customFormat="false" ht="15" hidden="false" customHeight="false" outlineLevel="0" collapsed="false">
      <c r="A261" s="25"/>
      <c r="B261" s="26"/>
      <c r="C261" s="27"/>
      <c r="D261" s="28"/>
      <c r="E261" s="28"/>
      <c r="F261" s="29"/>
      <c r="G261" s="29"/>
      <c r="H261" s="29"/>
      <c r="I261" s="29"/>
      <c r="J261" s="29"/>
      <c r="K261" s="29"/>
      <c r="L261" s="30" t="str">
        <f aca="false">IF(A261="","",SUM(G261:K261))</f>
        <v/>
      </c>
      <c r="M261" s="31" t="str">
        <f aca="false">IF(A261="","",IF(F261=0,0,L261/F261))</f>
        <v/>
      </c>
      <c r="N261" s="5" t="str">
        <f aca="false">IF(A261="","",CHOOSE(WEEKDAY(A261,2),"月","火","水","木","金","土","日"))</f>
        <v/>
      </c>
      <c r="O261" s="5" t="str">
        <f aca="false">IF(B261="","",IF(HOUR(B261)&lt;6,"深夜(0-5時)",IF(HOUR(B261)&lt;11,"朝(6-10時)",IF(HOUR(B261)&lt;15,"昼(11-14時)",IF(HOUR(B261)&lt;19,"夕方(15-18時)","夜(19-23時)")))))</f>
        <v/>
      </c>
      <c r="P261" s="32" t="str">
        <f aca="false">IF(M261="","",M261+ROW()/1000000000)</f>
        <v/>
      </c>
    </row>
    <row r="262" customFormat="false" ht="15" hidden="false" customHeight="false" outlineLevel="0" collapsed="false">
      <c r="A262" s="25"/>
      <c r="B262" s="26"/>
      <c r="C262" s="27"/>
      <c r="D262" s="28"/>
      <c r="E262" s="28"/>
      <c r="F262" s="29"/>
      <c r="G262" s="29"/>
      <c r="H262" s="29"/>
      <c r="I262" s="29"/>
      <c r="J262" s="29"/>
      <c r="K262" s="29"/>
      <c r="L262" s="30" t="str">
        <f aca="false">IF(A262="","",SUM(G262:K262))</f>
        <v/>
      </c>
      <c r="M262" s="31" t="str">
        <f aca="false">IF(A262="","",IF(F262=0,0,L262/F262))</f>
        <v/>
      </c>
      <c r="N262" s="5" t="str">
        <f aca="false">IF(A262="","",CHOOSE(WEEKDAY(A262,2),"月","火","水","木","金","土","日"))</f>
        <v/>
      </c>
      <c r="O262" s="5" t="str">
        <f aca="false">IF(B262="","",IF(HOUR(B262)&lt;6,"深夜(0-5時)",IF(HOUR(B262)&lt;11,"朝(6-10時)",IF(HOUR(B262)&lt;15,"昼(11-14時)",IF(HOUR(B262)&lt;19,"夕方(15-18時)","夜(19-23時)")))))</f>
        <v/>
      </c>
      <c r="P262" s="32" t="str">
        <f aca="false">IF(M262="","",M262+ROW()/1000000000)</f>
        <v/>
      </c>
    </row>
    <row r="263" customFormat="false" ht="15" hidden="false" customHeight="false" outlineLevel="0" collapsed="false">
      <c r="A263" s="25"/>
      <c r="B263" s="26"/>
      <c r="C263" s="27"/>
      <c r="D263" s="28"/>
      <c r="E263" s="28"/>
      <c r="F263" s="29"/>
      <c r="G263" s="29"/>
      <c r="H263" s="29"/>
      <c r="I263" s="29"/>
      <c r="J263" s="29"/>
      <c r="K263" s="29"/>
      <c r="L263" s="30" t="str">
        <f aca="false">IF(A263="","",SUM(G263:K263))</f>
        <v/>
      </c>
      <c r="M263" s="31" t="str">
        <f aca="false">IF(A263="","",IF(F263=0,0,L263/F263))</f>
        <v/>
      </c>
      <c r="N263" s="5" t="str">
        <f aca="false">IF(A263="","",CHOOSE(WEEKDAY(A263,2),"月","火","水","木","金","土","日"))</f>
        <v/>
      </c>
      <c r="O263" s="5" t="str">
        <f aca="false">IF(B263="","",IF(HOUR(B263)&lt;6,"深夜(0-5時)",IF(HOUR(B263)&lt;11,"朝(6-10時)",IF(HOUR(B263)&lt;15,"昼(11-14時)",IF(HOUR(B263)&lt;19,"夕方(15-18時)","夜(19-23時)")))))</f>
        <v/>
      </c>
      <c r="P263" s="32" t="str">
        <f aca="false">IF(M263="","",M263+ROW()/1000000000)</f>
        <v/>
      </c>
    </row>
    <row r="264" customFormat="false" ht="15" hidden="false" customHeight="false" outlineLevel="0" collapsed="false">
      <c r="A264" s="25"/>
      <c r="B264" s="26"/>
      <c r="C264" s="27"/>
      <c r="D264" s="28"/>
      <c r="E264" s="28"/>
      <c r="F264" s="29"/>
      <c r="G264" s="29"/>
      <c r="H264" s="29"/>
      <c r="I264" s="29"/>
      <c r="J264" s="29"/>
      <c r="K264" s="29"/>
      <c r="L264" s="30" t="str">
        <f aca="false">IF(A264="","",SUM(G264:K264))</f>
        <v/>
      </c>
      <c r="M264" s="31" t="str">
        <f aca="false">IF(A264="","",IF(F264=0,0,L264/F264))</f>
        <v/>
      </c>
      <c r="N264" s="5" t="str">
        <f aca="false">IF(A264="","",CHOOSE(WEEKDAY(A264,2),"月","火","水","木","金","土","日"))</f>
        <v/>
      </c>
      <c r="O264" s="5" t="str">
        <f aca="false">IF(B264="","",IF(HOUR(B264)&lt;6,"深夜(0-5時)",IF(HOUR(B264)&lt;11,"朝(6-10時)",IF(HOUR(B264)&lt;15,"昼(11-14時)",IF(HOUR(B264)&lt;19,"夕方(15-18時)","夜(19-23時)")))))</f>
        <v/>
      </c>
      <c r="P264" s="32" t="str">
        <f aca="false">IF(M264="","",M264+ROW()/1000000000)</f>
        <v/>
      </c>
    </row>
    <row r="265" customFormat="false" ht="15" hidden="false" customHeight="false" outlineLevel="0" collapsed="false">
      <c r="A265" s="25"/>
      <c r="B265" s="26"/>
      <c r="C265" s="27"/>
      <c r="D265" s="28"/>
      <c r="E265" s="28"/>
      <c r="F265" s="29"/>
      <c r="G265" s="29"/>
      <c r="H265" s="29"/>
      <c r="I265" s="29"/>
      <c r="J265" s="29"/>
      <c r="K265" s="29"/>
      <c r="L265" s="30" t="str">
        <f aca="false">IF(A265="","",SUM(G265:K265))</f>
        <v/>
      </c>
      <c r="M265" s="31" t="str">
        <f aca="false">IF(A265="","",IF(F265=0,0,L265/F265))</f>
        <v/>
      </c>
      <c r="N265" s="5" t="str">
        <f aca="false">IF(A265="","",CHOOSE(WEEKDAY(A265,2),"月","火","水","木","金","土","日"))</f>
        <v/>
      </c>
      <c r="O265" s="5" t="str">
        <f aca="false">IF(B265="","",IF(HOUR(B265)&lt;6,"深夜(0-5時)",IF(HOUR(B265)&lt;11,"朝(6-10時)",IF(HOUR(B265)&lt;15,"昼(11-14時)",IF(HOUR(B265)&lt;19,"夕方(15-18時)","夜(19-23時)")))))</f>
        <v/>
      </c>
      <c r="P265" s="32" t="str">
        <f aca="false">IF(M265="","",M265+ROW()/1000000000)</f>
        <v/>
      </c>
    </row>
    <row r="266" customFormat="false" ht="15" hidden="false" customHeight="false" outlineLevel="0" collapsed="false">
      <c r="A266" s="25"/>
      <c r="B266" s="26"/>
      <c r="C266" s="27"/>
      <c r="D266" s="28"/>
      <c r="E266" s="28"/>
      <c r="F266" s="29"/>
      <c r="G266" s="29"/>
      <c r="H266" s="29"/>
      <c r="I266" s="29"/>
      <c r="J266" s="29"/>
      <c r="K266" s="29"/>
      <c r="L266" s="30" t="str">
        <f aca="false">IF(A266="","",SUM(G266:K266))</f>
        <v/>
      </c>
      <c r="M266" s="31" t="str">
        <f aca="false">IF(A266="","",IF(F266=0,0,L266/F266))</f>
        <v/>
      </c>
      <c r="N266" s="5" t="str">
        <f aca="false">IF(A266="","",CHOOSE(WEEKDAY(A266,2),"月","火","水","木","金","土","日"))</f>
        <v/>
      </c>
      <c r="O266" s="5" t="str">
        <f aca="false">IF(B266="","",IF(HOUR(B266)&lt;6,"深夜(0-5時)",IF(HOUR(B266)&lt;11,"朝(6-10時)",IF(HOUR(B266)&lt;15,"昼(11-14時)",IF(HOUR(B266)&lt;19,"夕方(15-18時)","夜(19-23時)")))))</f>
        <v/>
      </c>
      <c r="P266" s="32" t="str">
        <f aca="false">IF(M266="","",M266+ROW()/1000000000)</f>
        <v/>
      </c>
    </row>
    <row r="267" customFormat="false" ht="15" hidden="false" customHeight="false" outlineLevel="0" collapsed="false">
      <c r="A267" s="25"/>
      <c r="B267" s="26"/>
      <c r="C267" s="27"/>
      <c r="D267" s="28"/>
      <c r="E267" s="28"/>
      <c r="F267" s="29"/>
      <c r="G267" s="29"/>
      <c r="H267" s="29"/>
      <c r="I267" s="29"/>
      <c r="J267" s="29"/>
      <c r="K267" s="29"/>
      <c r="L267" s="30" t="str">
        <f aca="false">IF(A267="","",SUM(G267:K267))</f>
        <v/>
      </c>
      <c r="M267" s="31" t="str">
        <f aca="false">IF(A267="","",IF(F267=0,0,L267/F267))</f>
        <v/>
      </c>
      <c r="N267" s="5" t="str">
        <f aca="false">IF(A267="","",CHOOSE(WEEKDAY(A267,2),"月","火","水","木","金","土","日"))</f>
        <v/>
      </c>
      <c r="O267" s="5" t="str">
        <f aca="false">IF(B267="","",IF(HOUR(B267)&lt;6,"深夜(0-5時)",IF(HOUR(B267)&lt;11,"朝(6-10時)",IF(HOUR(B267)&lt;15,"昼(11-14時)",IF(HOUR(B267)&lt;19,"夕方(15-18時)","夜(19-23時)")))))</f>
        <v/>
      </c>
      <c r="P267" s="32" t="str">
        <f aca="false">IF(M267="","",M267+ROW()/1000000000)</f>
        <v/>
      </c>
    </row>
    <row r="268" customFormat="false" ht="15" hidden="false" customHeight="false" outlineLevel="0" collapsed="false">
      <c r="A268" s="25"/>
      <c r="B268" s="26"/>
      <c r="C268" s="27"/>
      <c r="D268" s="28"/>
      <c r="E268" s="28"/>
      <c r="F268" s="29"/>
      <c r="G268" s="29"/>
      <c r="H268" s="29"/>
      <c r="I268" s="29"/>
      <c r="J268" s="29"/>
      <c r="K268" s="29"/>
      <c r="L268" s="30" t="str">
        <f aca="false">IF(A268="","",SUM(G268:K268))</f>
        <v/>
      </c>
      <c r="M268" s="31" t="str">
        <f aca="false">IF(A268="","",IF(F268=0,0,L268/F268))</f>
        <v/>
      </c>
      <c r="N268" s="5" t="str">
        <f aca="false">IF(A268="","",CHOOSE(WEEKDAY(A268,2),"月","火","水","木","金","土","日"))</f>
        <v/>
      </c>
      <c r="O268" s="5" t="str">
        <f aca="false">IF(B268="","",IF(HOUR(B268)&lt;6,"深夜(0-5時)",IF(HOUR(B268)&lt;11,"朝(6-10時)",IF(HOUR(B268)&lt;15,"昼(11-14時)",IF(HOUR(B268)&lt;19,"夕方(15-18時)","夜(19-23時)")))))</f>
        <v/>
      </c>
      <c r="P268" s="32" t="str">
        <f aca="false">IF(M268="","",M268+ROW()/1000000000)</f>
        <v/>
      </c>
    </row>
    <row r="269" customFormat="false" ht="15" hidden="false" customHeight="false" outlineLevel="0" collapsed="false">
      <c r="A269" s="25"/>
      <c r="B269" s="26"/>
      <c r="C269" s="27"/>
      <c r="D269" s="28"/>
      <c r="E269" s="28"/>
      <c r="F269" s="29"/>
      <c r="G269" s="29"/>
      <c r="H269" s="29"/>
      <c r="I269" s="29"/>
      <c r="J269" s="29"/>
      <c r="K269" s="29"/>
      <c r="L269" s="30" t="str">
        <f aca="false">IF(A269="","",SUM(G269:K269))</f>
        <v/>
      </c>
      <c r="M269" s="31" t="str">
        <f aca="false">IF(A269="","",IF(F269=0,0,L269/F269))</f>
        <v/>
      </c>
      <c r="N269" s="5" t="str">
        <f aca="false">IF(A269="","",CHOOSE(WEEKDAY(A269,2),"月","火","水","木","金","土","日"))</f>
        <v/>
      </c>
      <c r="O269" s="5" t="str">
        <f aca="false">IF(B269="","",IF(HOUR(B269)&lt;6,"深夜(0-5時)",IF(HOUR(B269)&lt;11,"朝(6-10時)",IF(HOUR(B269)&lt;15,"昼(11-14時)",IF(HOUR(B269)&lt;19,"夕方(15-18時)","夜(19-23時)")))))</f>
        <v/>
      </c>
      <c r="P269" s="32" t="str">
        <f aca="false">IF(M269="","",M269+ROW()/1000000000)</f>
        <v/>
      </c>
    </row>
    <row r="270" customFormat="false" ht="15" hidden="false" customHeight="false" outlineLevel="0" collapsed="false">
      <c r="A270" s="25"/>
      <c r="B270" s="26"/>
      <c r="C270" s="27"/>
      <c r="D270" s="28"/>
      <c r="E270" s="28"/>
      <c r="F270" s="29"/>
      <c r="G270" s="29"/>
      <c r="H270" s="29"/>
      <c r="I270" s="29"/>
      <c r="J270" s="29"/>
      <c r="K270" s="29"/>
      <c r="L270" s="30" t="str">
        <f aca="false">IF(A270="","",SUM(G270:K270))</f>
        <v/>
      </c>
      <c r="M270" s="31" t="str">
        <f aca="false">IF(A270="","",IF(F270=0,0,L270/F270))</f>
        <v/>
      </c>
      <c r="N270" s="5" t="str">
        <f aca="false">IF(A270="","",CHOOSE(WEEKDAY(A270,2),"月","火","水","木","金","土","日"))</f>
        <v/>
      </c>
      <c r="O270" s="5" t="str">
        <f aca="false">IF(B270="","",IF(HOUR(B270)&lt;6,"深夜(0-5時)",IF(HOUR(B270)&lt;11,"朝(6-10時)",IF(HOUR(B270)&lt;15,"昼(11-14時)",IF(HOUR(B270)&lt;19,"夕方(15-18時)","夜(19-23時)")))))</f>
        <v/>
      </c>
      <c r="P270" s="32" t="str">
        <f aca="false">IF(M270="","",M270+ROW()/1000000000)</f>
        <v/>
      </c>
    </row>
    <row r="271" customFormat="false" ht="15" hidden="false" customHeight="false" outlineLevel="0" collapsed="false">
      <c r="A271" s="25"/>
      <c r="B271" s="26"/>
      <c r="C271" s="27"/>
      <c r="D271" s="28"/>
      <c r="E271" s="28"/>
      <c r="F271" s="29"/>
      <c r="G271" s="29"/>
      <c r="H271" s="29"/>
      <c r="I271" s="29"/>
      <c r="J271" s="29"/>
      <c r="K271" s="29"/>
      <c r="L271" s="30" t="str">
        <f aca="false">IF(A271="","",SUM(G271:K271))</f>
        <v/>
      </c>
      <c r="M271" s="31" t="str">
        <f aca="false">IF(A271="","",IF(F271=0,0,L271/F271))</f>
        <v/>
      </c>
      <c r="N271" s="5" t="str">
        <f aca="false">IF(A271="","",CHOOSE(WEEKDAY(A271,2),"月","火","水","木","金","土","日"))</f>
        <v/>
      </c>
      <c r="O271" s="5" t="str">
        <f aca="false">IF(B271="","",IF(HOUR(B271)&lt;6,"深夜(0-5時)",IF(HOUR(B271)&lt;11,"朝(6-10時)",IF(HOUR(B271)&lt;15,"昼(11-14時)",IF(HOUR(B271)&lt;19,"夕方(15-18時)","夜(19-23時)")))))</f>
        <v/>
      </c>
      <c r="P271" s="32" t="str">
        <f aca="false">IF(M271="","",M271+ROW()/1000000000)</f>
        <v/>
      </c>
    </row>
    <row r="272" customFormat="false" ht="15" hidden="false" customHeight="false" outlineLevel="0" collapsed="false">
      <c r="A272" s="25"/>
      <c r="B272" s="26"/>
      <c r="C272" s="27"/>
      <c r="D272" s="28"/>
      <c r="E272" s="28"/>
      <c r="F272" s="29"/>
      <c r="G272" s="29"/>
      <c r="H272" s="29"/>
      <c r="I272" s="29"/>
      <c r="J272" s="29"/>
      <c r="K272" s="29"/>
      <c r="L272" s="30" t="str">
        <f aca="false">IF(A272="","",SUM(G272:K272))</f>
        <v/>
      </c>
      <c r="M272" s="31" t="str">
        <f aca="false">IF(A272="","",IF(F272=0,0,L272/F272))</f>
        <v/>
      </c>
      <c r="N272" s="5" t="str">
        <f aca="false">IF(A272="","",CHOOSE(WEEKDAY(A272,2),"月","火","水","木","金","土","日"))</f>
        <v/>
      </c>
      <c r="O272" s="5" t="str">
        <f aca="false">IF(B272="","",IF(HOUR(B272)&lt;6,"深夜(0-5時)",IF(HOUR(B272)&lt;11,"朝(6-10時)",IF(HOUR(B272)&lt;15,"昼(11-14時)",IF(HOUR(B272)&lt;19,"夕方(15-18時)","夜(19-23時)")))))</f>
        <v/>
      </c>
      <c r="P272" s="32" t="str">
        <f aca="false">IF(M272="","",M272+ROW()/1000000000)</f>
        <v/>
      </c>
    </row>
    <row r="273" customFormat="false" ht="15" hidden="false" customHeight="false" outlineLevel="0" collapsed="false">
      <c r="A273" s="25"/>
      <c r="B273" s="26"/>
      <c r="C273" s="27"/>
      <c r="D273" s="28"/>
      <c r="E273" s="28"/>
      <c r="F273" s="29"/>
      <c r="G273" s="29"/>
      <c r="H273" s="29"/>
      <c r="I273" s="29"/>
      <c r="J273" s="29"/>
      <c r="K273" s="29"/>
      <c r="L273" s="30" t="str">
        <f aca="false">IF(A273="","",SUM(G273:K273))</f>
        <v/>
      </c>
      <c r="M273" s="31" t="str">
        <f aca="false">IF(A273="","",IF(F273=0,0,L273/F273))</f>
        <v/>
      </c>
      <c r="N273" s="5" t="str">
        <f aca="false">IF(A273="","",CHOOSE(WEEKDAY(A273,2),"月","火","水","木","金","土","日"))</f>
        <v/>
      </c>
      <c r="O273" s="5" t="str">
        <f aca="false">IF(B273="","",IF(HOUR(B273)&lt;6,"深夜(0-5時)",IF(HOUR(B273)&lt;11,"朝(6-10時)",IF(HOUR(B273)&lt;15,"昼(11-14時)",IF(HOUR(B273)&lt;19,"夕方(15-18時)","夜(19-23時)")))))</f>
        <v/>
      </c>
      <c r="P273" s="32" t="str">
        <f aca="false">IF(M273="","",M273+ROW()/1000000000)</f>
        <v/>
      </c>
    </row>
    <row r="274" customFormat="false" ht="15" hidden="false" customHeight="false" outlineLevel="0" collapsed="false">
      <c r="A274" s="25"/>
      <c r="B274" s="26"/>
      <c r="C274" s="27"/>
      <c r="D274" s="28"/>
      <c r="E274" s="28"/>
      <c r="F274" s="29"/>
      <c r="G274" s="29"/>
      <c r="H274" s="29"/>
      <c r="I274" s="29"/>
      <c r="J274" s="29"/>
      <c r="K274" s="29"/>
      <c r="L274" s="30" t="str">
        <f aca="false">IF(A274="","",SUM(G274:K274))</f>
        <v/>
      </c>
      <c r="M274" s="31" t="str">
        <f aca="false">IF(A274="","",IF(F274=0,0,L274/F274))</f>
        <v/>
      </c>
      <c r="N274" s="5" t="str">
        <f aca="false">IF(A274="","",CHOOSE(WEEKDAY(A274,2),"月","火","水","木","金","土","日"))</f>
        <v/>
      </c>
      <c r="O274" s="5" t="str">
        <f aca="false">IF(B274="","",IF(HOUR(B274)&lt;6,"深夜(0-5時)",IF(HOUR(B274)&lt;11,"朝(6-10時)",IF(HOUR(B274)&lt;15,"昼(11-14時)",IF(HOUR(B274)&lt;19,"夕方(15-18時)","夜(19-23時)")))))</f>
        <v/>
      </c>
      <c r="P274" s="32" t="str">
        <f aca="false">IF(M274="","",M274+ROW()/1000000000)</f>
        <v/>
      </c>
    </row>
    <row r="275" customFormat="false" ht="15" hidden="false" customHeight="false" outlineLevel="0" collapsed="false">
      <c r="A275" s="25"/>
      <c r="B275" s="26"/>
      <c r="C275" s="27"/>
      <c r="D275" s="28"/>
      <c r="E275" s="28"/>
      <c r="F275" s="29"/>
      <c r="G275" s="29"/>
      <c r="H275" s="29"/>
      <c r="I275" s="29"/>
      <c r="J275" s="29"/>
      <c r="K275" s="29"/>
      <c r="L275" s="30" t="str">
        <f aca="false">IF(A275="","",SUM(G275:K275))</f>
        <v/>
      </c>
      <c r="M275" s="31" t="str">
        <f aca="false">IF(A275="","",IF(F275=0,0,L275/F275))</f>
        <v/>
      </c>
      <c r="N275" s="5" t="str">
        <f aca="false">IF(A275="","",CHOOSE(WEEKDAY(A275,2),"月","火","水","木","金","土","日"))</f>
        <v/>
      </c>
      <c r="O275" s="5" t="str">
        <f aca="false">IF(B275="","",IF(HOUR(B275)&lt;6,"深夜(0-5時)",IF(HOUR(B275)&lt;11,"朝(6-10時)",IF(HOUR(B275)&lt;15,"昼(11-14時)",IF(HOUR(B275)&lt;19,"夕方(15-18時)","夜(19-23時)")))))</f>
        <v/>
      </c>
      <c r="P275" s="32" t="str">
        <f aca="false">IF(M275="","",M275+ROW()/1000000000)</f>
        <v/>
      </c>
    </row>
    <row r="276" customFormat="false" ht="15" hidden="false" customHeight="false" outlineLevel="0" collapsed="false">
      <c r="A276" s="25"/>
      <c r="B276" s="26"/>
      <c r="C276" s="27"/>
      <c r="D276" s="28"/>
      <c r="E276" s="28"/>
      <c r="F276" s="29"/>
      <c r="G276" s="29"/>
      <c r="H276" s="29"/>
      <c r="I276" s="29"/>
      <c r="J276" s="29"/>
      <c r="K276" s="29"/>
      <c r="L276" s="30" t="str">
        <f aca="false">IF(A276="","",SUM(G276:K276))</f>
        <v/>
      </c>
      <c r="M276" s="31" t="str">
        <f aca="false">IF(A276="","",IF(F276=0,0,L276/F276))</f>
        <v/>
      </c>
      <c r="N276" s="5" t="str">
        <f aca="false">IF(A276="","",CHOOSE(WEEKDAY(A276,2),"月","火","水","木","金","土","日"))</f>
        <v/>
      </c>
      <c r="O276" s="5" t="str">
        <f aca="false">IF(B276="","",IF(HOUR(B276)&lt;6,"深夜(0-5時)",IF(HOUR(B276)&lt;11,"朝(6-10時)",IF(HOUR(B276)&lt;15,"昼(11-14時)",IF(HOUR(B276)&lt;19,"夕方(15-18時)","夜(19-23時)")))))</f>
        <v/>
      </c>
      <c r="P276" s="32" t="str">
        <f aca="false">IF(M276="","",M276+ROW()/1000000000)</f>
        <v/>
      </c>
    </row>
    <row r="277" customFormat="false" ht="15" hidden="false" customHeight="false" outlineLevel="0" collapsed="false">
      <c r="A277" s="25"/>
      <c r="B277" s="26"/>
      <c r="C277" s="27"/>
      <c r="D277" s="28"/>
      <c r="E277" s="28"/>
      <c r="F277" s="29"/>
      <c r="G277" s="29"/>
      <c r="H277" s="29"/>
      <c r="I277" s="29"/>
      <c r="J277" s="29"/>
      <c r="K277" s="29"/>
      <c r="L277" s="30" t="str">
        <f aca="false">IF(A277="","",SUM(G277:K277))</f>
        <v/>
      </c>
      <c r="M277" s="31" t="str">
        <f aca="false">IF(A277="","",IF(F277=0,0,L277/F277))</f>
        <v/>
      </c>
      <c r="N277" s="5" t="str">
        <f aca="false">IF(A277="","",CHOOSE(WEEKDAY(A277,2),"月","火","水","木","金","土","日"))</f>
        <v/>
      </c>
      <c r="O277" s="5" t="str">
        <f aca="false">IF(B277="","",IF(HOUR(B277)&lt;6,"深夜(0-5時)",IF(HOUR(B277)&lt;11,"朝(6-10時)",IF(HOUR(B277)&lt;15,"昼(11-14時)",IF(HOUR(B277)&lt;19,"夕方(15-18時)","夜(19-23時)")))))</f>
        <v/>
      </c>
      <c r="P277" s="32" t="str">
        <f aca="false">IF(M277="","",M277+ROW()/1000000000)</f>
        <v/>
      </c>
    </row>
    <row r="278" customFormat="false" ht="15" hidden="false" customHeight="false" outlineLevel="0" collapsed="false">
      <c r="A278" s="25"/>
      <c r="B278" s="26"/>
      <c r="C278" s="27"/>
      <c r="D278" s="28"/>
      <c r="E278" s="28"/>
      <c r="F278" s="29"/>
      <c r="G278" s="29"/>
      <c r="H278" s="29"/>
      <c r="I278" s="29"/>
      <c r="J278" s="29"/>
      <c r="K278" s="29"/>
      <c r="L278" s="30" t="str">
        <f aca="false">IF(A278="","",SUM(G278:K278))</f>
        <v/>
      </c>
      <c r="M278" s="31" t="str">
        <f aca="false">IF(A278="","",IF(F278=0,0,L278/F278))</f>
        <v/>
      </c>
      <c r="N278" s="5" t="str">
        <f aca="false">IF(A278="","",CHOOSE(WEEKDAY(A278,2),"月","火","水","木","金","土","日"))</f>
        <v/>
      </c>
      <c r="O278" s="5" t="str">
        <f aca="false">IF(B278="","",IF(HOUR(B278)&lt;6,"深夜(0-5時)",IF(HOUR(B278)&lt;11,"朝(6-10時)",IF(HOUR(B278)&lt;15,"昼(11-14時)",IF(HOUR(B278)&lt;19,"夕方(15-18時)","夜(19-23時)")))))</f>
        <v/>
      </c>
      <c r="P278" s="32" t="str">
        <f aca="false">IF(M278="","",M278+ROW()/1000000000)</f>
        <v/>
      </c>
    </row>
    <row r="279" customFormat="false" ht="15" hidden="false" customHeight="false" outlineLevel="0" collapsed="false">
      <c r="A279" s="25"/>
      <c r="B279" s="26"/>
      <c r="C279" s="27"/>
      <c r="D279" s="28"/>
      <c r="E279" s="28"/>
      <c r="F279" s="29"/>
      <c r="G279" s="29"/>
      <c r="H279" s="29"/>
      <c r="I279" s="29"/>
      <c r="J279" s="29"/>
      <c r="K279" s="29"/>
      <c r="L279" s="30" t="str">
        <f aca="false">IF(A279="","",SUM(G279:K279))</f>
        <v/>
      </c>
      <c r="M279" s="31" t="str">
        <f aca="false">IF(A279="","",IF(F279=0,0,L279/F279))</f>
        <v/>
      </c>
      <c r="N279" s="5" t="str">
        <f aca="false">IF(A279="","",CHOOSE(WEEKDAY(A279,2),"月","火","水","木","金","土","日"))</f>
        <v/>
      </c>
      <c r="O279" s="5" t="str">
        <f aca="false">IF(B279="","",IF(HOUR(B279)&lt;6,"深夜(0-5時)",IF(HOUR(B279)&lt;11,"朝(6-10時)",IF(HOUR(B279)&lt;15,"昼(11-14時)",IF(HOUR(B279)&lt;19,"夕方(15-18時)","夜(19-23時)")))))</f>
        <v/>
      </c>
      <c r="P279" s="32" t="str">
        <f aca="false">IF(M279="","",M279+ROW()/1000000000)</f>
        <v/>
      </c>
    </row>
    <row r="280" customFormat="false" ht="15" hidden="false" customHeight="false" outlineLevel="0" collapsed="false">
      <c r="A280" s="25"/>
      <c r="B280" s="26"/>
      <c r="C280" s="27"/>
      <c r="D280" s="28"/>
      <c r="E280" s="28"/>
      <c r="F280" s="29"/>
      <c r="G280" s="29"/>
      <c r="H280" s="29"/>
      <c r="I280" s="29"/>
      <c r="J280" s="29"/>
      <c r="K280" s="29"/>
      <c r="L280" s="30" t="str">
        <f aca="false">IF(A280="","",SUM(G280:K280))</f>
        <v/>
      </c>
      <c r="M280" s="31" t="str">
        <f aca="false">IF(A280="","",IF(F280=0,0,L280/F280))</f>
        <v/>
      </c>
      <c r="N280" s="5" t="str">
        <f aca="false">IF(A280="","",CHOOSE(WEEKDAY(A280,2),"月","火","水","木","金","土","日"))</f>
        <v/>
      </c>
      <c r="O280" s="5" t="str">
        <f aca="false">IF(B280="","",IF(HOUR(B280)&lt;6,"深夜(0-5時)",IF(HOUR(B280)&lt;11,"朝(6-10時)",IF(HOUR(B280)&lt;15,"昼(11-14時)",IF(HOUR(B280)&lt;19,"夕方(15-18時)","夜(19-23時)")))))</f>
        <v/>
      </c>
      <c r="P280" s="32" t="str">
        <f aca="false">IF(M280="","",M280+ROW()/1000000000)</f>
        <v/>
      </c>
    </row>
    <row r="281" customFormat="false" ht="15" hidden="false" customHeight="false" outlineLevel="0" collapsed="false">
      <c r="A281" s="25"/>
      <c r="B281" s="26"/>
      <c r="C281" s="27"/>
      <c r="D281" s="28"/>
      <c r="E281" s="28"/>
      <c r="F281" s="29"/>
      <c r="G281" s="29"/>
      <c r="H281" s="29"/>
      <c r="I281" s="29"/>
      <c r="J281" s="29"/>
      <c r="K281" s="29"/>
      <c r="L281" s="30" t="str">
        <f aca="false">IF(A281="","",SUM(G281:K281))</f>
        <v/>
      </c>
      <c r="M281" s="31" t="str">
        <f aca="false">IF(A281="","",IF(F281=0,0,L281/F281))</f>
        <v/>
      </c>
      <c r="N281" s="5" t="str">
        <f aca="false">IF(A281="","",CHOOSE(WEEKDAY(A281,2),"月","火","水","木","金","土","日"))</f>
        <v/>
      </c>
      <c r="O281" s="5" t="str">
        <f aca="false">IF(B281="","",IF(HOUR(B281)&lt;6,"深夜(0-5時)",IF(HOUR(B281)&lt;11,"朝(6-10時)",IF(HOUR(B281)&lt;15,"昼(11-14時)",IF(HOUR(B281)&lt;19,"夕方(15-18時)","夜(19-23時)")))))</f>
        <v/>
      </c>
      <c r="P281" s="32" t="str">
        <f aca="false">IF(M281="","",M281+ROW()/1000000000)</f>
        <v/>
      </c>
    </row>
    <row r="282" customFormat="false" ht="15" hidden="false" customHeight="false" outlineLevel="0" collapsed="false">
      <c r="A282" s="25"/>
      <c r="B282" s="26"/>
      <c r="C282" s="27"/>
      <c r="D282" s="28"/>
      <c r="E282" s="28"/>
      <c r="F282" s="29"/>
      <c r="G282" s="29"/>
      <c r="H282" s="29"/>
      <c r="I282" s="29"/>
      <c r="J282" s="29"/>
      <c r="K282" s="29"/>
      <c r="L282" s="30" t="str">
        <f aca="false">IF(A282="","",SUM(G282:K282))</f>
        <v/>
      </c>
      <c r="M282" s="31" t="str">
        <f aca="false">IF(A282="","",IF(F282=0,0,L282/F282))</f>
        <v/>
      </c>
      <c r="N282" s="5" t="str">
        <f aca="false">IF(A282="","",CHOOSE(WEEKDAY(A282,2),"月","火","水","木","金","土","日"))</f>
        <v/>
      </c>
      <c r="O282" s="5" t="str">
        <f aca="false">IF(B282="","",IF(HOUR(B282)&lt;6,"深夜(0-5時)",IF(HOUR(B282)&lt;11,"朝(6-10時)",IF(HOUR(B282)&lt;15,"昼(11-14時)",IF(HOUR(B282)&lt;19,"夕方(15-18時)","夜(19-23時)")))))</f>
        <v/>
      </c>
      <c r="P282" s="32" t="str">
        <f aca="false">IF(M282="","",M282+ROW()/1000000000)</f>
        <v/>
      </c>
    </row>
    <row r="283" customFormat="false" ht="15" hidden="false" customHeight="false" outlineLevel="0" collapsed="false">
      <c r="A283" s="25"/>
      <c r="B283" s="26"/>
      <c r="C283" s="27"/>
      <c r="D283" s="28"/>
      <c r="E283" s="28"/>
      <c r="F283" s="29"/>
      <c r="G283" s="29"/>
      <c r="H283" s="29"/>
      <c r="I283" s="29"/>
      <c r="J283" s="29"/>
      <c r="K283" s="29"/>
      <c r="L283" s="30" t="str">
        <f aca="false">IF(A283="","",SUM(G283:K283))</f>
        <v/>
      </c>
      <c r="M283" s="31" t="str">
        <f aca="false">IF(A283="","",IF(F283=0,0,L283/F283))</f>
        <v/>
      </c>
      <c r="N283" s="5" t="str">
        <f aca="false">IF(A283="","",CHOOSE(WEEKDAY(A283,2),"月","火","水","木","金","土","日"))</f>
        <v/>
      </c>
      <c r="O283" s="5" t="str">
        <f aca="false">IF(B283="","",IF(HOUR(B283)&lt;6,"深夜(0-5時)",IF(HOUR(B283)&lt;11,"朝(6-10時)",IF(HOUR(B283)&lt;15,"昼(11-14時)",IF(HOUR(B283)&lt;19,"夕方(15-18時)","夜(19-23時)")))))</f>
        <v/>
      </c>
      <c r="P283" s="32" t="str">
        <f aca="false">IF(M283="","",M283+ROW()/1000000000)</f>
        <v/>
      </c>
    </row>
    <row r="284" customFormat="false" ht="15" hidden="false" customHeight="false" outlineLevel="0" collapsed="false">
      <c r="A284" s="25"/>
      <c r="B284" s="26"/>
      <c r="C284" s="27"/>
      <c r="D284" s="28"/>
      <c r="E284" s="28"/>
      <c r="F284" s="29"/>
      <c r="G284" s="29"/>
      <c r="H284" s="29"/>
      <c r="I284" s="29"/>
      <c r="J284" s="29"/>
      <c r="K284" s="29"/>
      <c r="L284" s="30" t="str">
        <f aca="false">IF(A284="","",SUM(G284:K284))</f>
        <v/>
      </c>
      <c r="M284" s="31" t="str">
        <f aca="false">IF(A284="","",IF(F284=0,0,L284/F284))</f>
        <v/>
      </c>
      <c r="N284" s="5" t="str">
        <f aca="false">IF(A284="","",CHOOSE(WEEKDAY(A284,2),"月","火","水","木","金","土","日"))</f>
        <v/>
      </c>
      <c r="O284" s="5" t="str">
        <f aca="false">IF(B284="","",IF(HOUR(B284)&lt;6,"深夜(0-5時)",IF(HOUR(B284)&lt;11,"朝(6-10時)",IF(HOUR(B284)&lt;15,"昼(11-14時)",IF(HOUR(B284)&lt;19,"夕方(15-18時)","夜(19-23時)")))))</f>
        <v/>
      </c>
      <c r="P284" s="32" t="str">
        <f aca="false">IF(M284="","",M284+ROW()/1000000000)</f>
        <v/>
      </c>
    </row>
    <row r="285" customFormat="false" ht="15" hidden="false" customHeight="false" outlineLevel="0" collapsed="false">
      <c r="A285" s="25"/>
      <c r="B285" s="26"/>
      <c r="C285" s="27"/>
      <c r="D285" s="28"/>
      <c r="E285" s="28"/>
      <c r="F285" s="29"/>
      <c r="G285" s="29"/>
      <c r="H285" s="29"/>
      <c r="I285" s="29"/>
      <c r="J285" s="29"/>
      <c r="K285" s="29"/>
      <c r="L285" s="30" t="str">
        <f aca="false">IF(A285="","",SUM(G285:K285))</f>
        <v/>
      </c>
      <c r="M285" s="31" t="str">
        <f aca="false">IF(A285="","",IF(F285=0,0,L285/F285))</f>
        <v/>
      </c>
      <c r="N285" s="5" t="str">
        <f aca="false">IF(A285="","",CHOOSE(WEEKDAY(A285,2),"月","火","水","木","金","土","日"))</f>
        <v/>
      </c>
      <c r="O285" s="5" t="str">
        <f aca="false">IF(B285="","",IF(HOUR(B285)&lt;6,"深夜(0-5時)",IF(HOUR(B285)&lt;11,"朝(6-10時)",IF(HOUR(B285)&lt;15,"昼(11-14時)",IF(HOUR(B285)&lt;19,"夕方(15-18時)","夜(19-23時)")))))</f>
        <v/>
      </c>
      <c r="P285" s="32" t="str">
        <f aca="false">IF(M285="","",M285+ROW()/1000000000)</f>
        <v/>
      </c>
    </row>
    <row r="286" customFormat="false" ht="15" hidden="false" customHeight="false" outlineLevel="0" collapsed="false">
      <c r="A286" s="25"/>
      <c r="B286" s="26"/>
      <c r="C286" s="27"/>
      <c r="D286" s="28"/>
      <c r="E286" s="28"/>
      <c r="F286" s="29"/>
      <c r="G286" s="29"/>
      <c r="H286" s="29"/>
      <c r="I286" s="29"/>
      <c r="J286" s="29"/>
      <c r="K286" s="29"/>
      <c r="L286" s="30" t="str">
        <f aca="false">IF(A286="","",SUM(G286:K286))</f>
        <v/>
      </c>
      <c r="M286" s="31" t="str">
        <f aca="false">IF(A286="","",IF(F286=0,0,L286/F286))</f>
        <v/>
      </c>
      <c r="N286" s="5" t="str">
        <f aca="false">IF(A286="","",CHOOSE(WEEKDAY(A286,2),"月","火","水","木","金","土","日"))</f>
        <v/>
      </c>
      <c r="O286" s="5" t="str">
        <f aca="false">IF(B286="","",IF(HOUR(B286)&lt;6,"深夜(0-5時)",IF(HOUR(B286)&lt;11,"朝(6-10時)",IF(HOUR(B286)&lt;15,"昼(11-14時)",IF(HOUR(B286)&lt;19,"夕方(15-18時)","夜(19-23時)")))))</f>
        <v/>
      </c>
      <c r="P286" s="32" t="str">
        <f aca="false">IF(M286="","",M286+ROW()/1000000000)</f>
        <v/>
      </c>
    </row>
    <row r="287" customFormat="false" ht="15" hidden="false" customHeight="false" outlineLevel="0" collapsed="false">
      <c r="A287" s="25"/>
      <c r="B287" s="26"/>
      <c r="C287" s="27"/>
      <c r="D287" s="28"/>
      <c r="E287" s="28"/>
      <c r="F287" s="29"/>
      <c r="G287" s="29"/>
      <c r="H287" s="29"/>
      <c r="I287" s="29"/>
      <c r="J287" s="29"/>
      <c r="K287" s="29"/>
      <c r="L287" s="30" t="str">
        <f aca="false">IF(A287="","",SUM(G287:K287))</f>
        <v/>
      </c>
      <c r="M287" s="31" t="str">
        <f aca="false">IF(A287="","",IF(F287=0,0,L287/F287))</f>
        <v/>
      </c>
      <c r="N287" s="5" t="str">
        <f aca="false">IF(A287="","",CHOOSE(WEEKDAY(A287,2),"月","火","水","木","金","土","日"))</f>
        <v/>
      </c>
      <c r="O287" s="5" t="str">
        <f aca="false">IF(B287="","",IF(HOUR(B287)&lt;6,"深夜(0-5時)",IF(HOUR(B287)&lt;11,"朝(6-10時)",IF(HOUR(B287)&lt;15,"昼(11-14時)",IF(HOUR(B287)&lt;19,"夕方(15-18時)","夜(19-23時)")))))</f>
        <v/>
      </c>
      <c r="P287" s="32" t="str">
        <f aca="false">IF(M287="","",M287+ROW()/1000000000)</f>
        <v/>
      </c>
    </row>
    <row r="288" customFormat="false" ht="15" hidden="false" customHeight="false" outlineLevel="0" collapsed="false">
      <c r="A288" s="25"/>
      <c r="B288" s="26"/>
      <c r="C288" s="27"/>
      <c r="D288" s="28"/>
      <c r="E288" s="28"/>
      <c r="F288" s="29"/>
      <c r="G288" s="29"/>
      <c r="H288" s="29"/>
      <c r="I288" s="29"/>
      <c r="J288" s="29"/>
      <c r="K288" s="29"/>
      <c r="L288" s="30" t="str">
        <f aca="false">IF(A288="","",SUM(G288:K288))</f>
        <v/>
      </c>
      <c r="M288" s="31" t="str">
        <f aca="false">IF(A288="","",IF(F288=0,0,L288/F288))</f>
        <v/>
      </c>
      <c r="N288" s="5" t="str">
        <f aca="false">IF(A288="","",CHOOSE(WEEKDAY(A288,2),"月","火","水","木","金","土","日"))</f>
        <v/>
      </c>
      <c r="O288" s="5" t="str">
        <f aca="false">IF(B288="","",IF(HOUR(B288)&lt;6,"深夜(0-5時)",IF(HOUR(B288)&lt;11,"朝(6-10時)",IF(HOUR(B288)&lt;15,"昼(11-14時)",IF(HOUR(B288)&lt;19,"夕方(15-18時)","夜(19-23時)")))))</f>
        <v/>
      </c>
      <c r="P288" s="32" t="str">
        <f aca="false">IF(M288="","",M288+ROW()/1000000000)</f>
        <v/>
      </c>
    </row>
    <row r="289" customFormat="false" ht="15" hidden="false" customHeight="false" outlineLevel="0" collapsed="false">
      <c r="A289" s="25"/>
      <c r="B289" s="26"/>
      <c r="C289" s="27"/>
      <c r="D289" s="28"/>
      <c r="E289" s="28"/>
      <c r="F289" s="29"/>
      <c r="G289" s="29"/>
      <c r="H289" s="29"/>
      <c r="I289" s="29"/>
      <c r="J289" s="29"/>
      <c r="K289" s="29"/>
      <c r="L289" s="30" t="str">
        <f aca="false">IF(A289="","",SUM(G289:K289))</f>
        <v/>
      </c>
      <c r="M289" s="31" t="str">
        <f aca="false">IF(A289="","",IF(F289=0,0,L289/F289))</f>
        <v/>
      </c>
      <c r="N289" s="5" t="str">
        <f aca="false">IF(A289="","",CHOOSE(WEEKDAY(A289,2),"月","火","水","木","金","土","日"))</f>
        <v/>
      </c>
      <c r="O289" s="5" t="str">
        <f aca="false">IF(B289="","",IF(HOUR(B289)&lt;6,"深夜(0-5時)",IF(HOUR(B289)&lt;11,"朝(6-10時)",IF(HOUR(B289)&lt;15,"昼(11-14時)",IF(HOUR(B289)&lt;19,"夕方(15-18時)","夜(19-23時)")))))</f>
        <v/>
      </c>
      <c r="P289" s="32" t="str">
        <f aca="false">IF(M289="","",M289+ROW()/1000000000)</f>
        <v/>
      </c>
    </row>
    <row r="290" customFormat="false" ht="15" hidden="false" customHeight="false" outlineLevel="0" collapsed="false">
      <c r="A290" s="25"/>
      <c r="B290" s="26"/>
      <c r="C290" s="27"/>
      <c r="D290" s="28"/>
      <c r="E290" s="28"/>
      <c r="F290" s="29"/>
      <c r="G290" s="29"/>
      <c r="H290" s="29"/>
      <c r="I290" s="29"/>
      <c r="J290" s="29"/>
      <c r="K290" s="29"/>
      <c r="L290" s="30" t="str">
        <f aca="false">IF(A290="","",SUM(G290:K290))</f>
        <v/>
      </c>
      <c r="M290" s="31" t="str">
        <f aca="false">IF(A290="","",IF(F290=0,0,L290/F290))</f>
        <v/>
      </c>
      <c r="N290" s="5" t="str">
        <f aca="false">IF(A290="","",CHOOSE(WEEKDAY(A290,2),"月","火","水","木","金","土","日"))</f>
        <v/>
      </c>
      <c r="O290" s="5" t="str">
        <f aca="false">IF(B290="","",IF(HOUR(B290)&lt;6,"深夜(0-5時)",IF(HOUR(B290)&lt;11,"朝(6-10時)",IF(HOUR(B290)&lt;15,"昼(11-14時)",IF(HOUR(B290)&lt;19,"夕方(15-18時)","夜(19-23時)")))))</f>
        <v/>
      </c>
      <c r="P290" s="32" t="str">
        <f aca="false">IF(M290="","",M290+ROW()/1000000000)</f>
        <v/>
      </c>
    </row>
    <row r="291" customFormat="false" ht="15" hidden="false" customHeight="false" outlineLevel="0" collapsed="false">
      <c r="A291" s="25"/>
      <c r="B291" s="26"/>
      <c r="C291" s="27"/>
      <c r="D291" s="28"/>
      <c r="E291" s="28"/>
      <c r="F291" s="29"/>
      <c r="G291" s="29"/>
      <c r="H291" s="29"/>
      <c r="I291" s="29"/>
      <c r="J291" s="29"/>
      <c r="K291" s="29"/>
      <c r="L291" s="30" t="str">
        <f aca="false">IF(A291="","",SUM(G291:K291))</f>
        <v/>
      </c>
      <c r="M291" s="31" t="str">
        <f aca="false">IF(A291="","",IF(F291=0,0,L291/F291))</f>
        <v/>
      </c>
      <c r="N291" s="5" t="str">
        <f aca="false">IF(A291="","",CHOOSE(WEEKDAY(A291,2),"月","火","水","木","金","土","日"))</f>
        <v/>
      </c>
      <c r="O291" s="5" t="str">
        <f aca="false">IF(B291="","",IF(HOUR(B291)&lt;6,"深夜(0-5時)",IF(HOUR(B291)&lt;11,"朝(6-10時)",IF(HOUR(B291)&lt;15,"昼(11-14時)",IF(HOUR(B291)&lt;19,"夕方(15-18時)","夜(19-23時)")))))</f>
        <v/>
      </c>
      <c r="P291" s="32" t="str">
        <f aca="false">IF(M291="","",M291+ROW()/1000000000)</f>
        <v/>
      </c>
    </row>
    <row r="292" customFormat="false" ht="15" hidden="false" customHeight="false" outlineLevel="0" collapsed="false">
      <c r="A292" s="25"/>
      <c r="B292" s="26"/>
      <c r="C292" s="27"/>
      <c r="D292" s="28"/>
      <c r="E292" s="28"/>
      <c r="F292" s="29"/>
      <c r="G292" s="29"/>
      <c r="H292" s="29"/>
      <c r="I292" s="29"/>
      <c r="J292" s="29"/>
      <c r="K292" s="29"/>
      <c r="L292" s="30" t="str">
        <f aca="false">IF(A292="","",SUM(G292:K292))</f>
        <v/>
      </c>
      <c r="M292" s="31" t="str">
        <f aca="false">IF(A292="","",IF(F292=0,0,L292/F292))</f>
        <v/>
      </c>
      <c r="N292" s="5" t="str">
        <f aca="false">IF(A292="","",CHOOSE(WEEKDAY(A292,2),"月","火","水","木","金","土","日"))</f>
        <v/>
      </c>
      <c r="O292" s="5" t="str">
        <f aca="false">IF(B292="","",IF(HOUR(B292)&lt;6,"深夜(0-5時)",IF(HOUR(B292)&lt;11,"朝(6-10時)",IF(HOUR(B292)&lt;15,"昼(11-14時)",IF(HOUR(B292)&lt;19,"夕方(15-18時)","夜(19-23時)")))))</f>
        <v/>
      </c>
      <c r="P292" s="32" t="str">
        <f aca="false">IF(M292="","",M292+ROW()/1000000000)</f>
        <v/>
      </c>
    </row>
    <row r="293" customFormat="false" ht="15" hidden="false" customHeight="false" outlineLevel="0" collapsed="false">
      <c r="A293" s="25"/>
      <c r="B293" s="26"/>
      <c r="C293" s="27"/>
      <c r="D293" s="28"/>
      <c r="E293" s="28"/>
      <c r="F293" s="29"/>
      <c r="G293" s="29"/>
      <c r="H293" s="29"/>
      <c r="I293" s="29"/>
      <c r="J293" s="29"/>
      <c r="K293" s="29"/>
      <c r="L293" s="30" t="str">
        <f aca="false">IF(A293="","",SUM(G293:K293))</f>
        <v/>
      </c>
      <c r="M293" s="31" t="str">
        <f aca="false">IF(A293="","",IF(F293=0,0,L293/F293))</f>
        <v/>
      </c>
      <c r="N293" s="5" t="str">
        <f aca="false">IF(A293="","",CHOOSE(WEEKDAY(A293,2),"月","火","水","木","金","土","日"))</f>
        <v/>
      </c>
      <c r="O293" s="5" t="str">
        <f aca="false">IF(B293="","",IF(HOUR(B293)&lt;6,"深夜(0-5時)",IF(HOUR(B293)&lt;11,"朝(6-10時)",IF(HOUR(B293)&lt;15,"昼(11-14時)",IF(HOUR(B293)&lt;19,"夕方(15-18時)","夜(19-23時)")))))</f>
        <v/>
      </c>
      <c r="P293" s="32" t="str">
        <f aca="false">IF(M293="","",M293+ROW()/1000000000)</f>
        <v/>
      </c>
    </row>
    <row r="294" customFormat="false" ht="15" hidden="false" customHeight="false" outlineLevel="0" collapsed="false">
      <c r="A294" s="25"/>
      <c r="B294" s="26"/>
      <c r="C294" s="27"/>
      <c r="D294" s="28"/>
      <c r="E294" s="28"/>
      <c r="F294" s="29"/>
      <c r="G294" s="29"/>
      <c r="H294" s="29"/>
      <c r="I294" s="29"/>
      <c r="J294" s="29"/>
      <c r="K294" s="29"/>
      <c r="L294" s="30" t="str">
        <f aca="false">IF(A294="","",SUM(G294:K294))</f>
        <v/>
      </c>
      <c r="M294" s="31" t="str">
        <f aca="false">IF(A294="","",IF(F294=0,0,L294/F294))</f>
        <v/>
      </c>
      <c r="N294" s="5" t="str">
        <f aca="false">IF(A294="","",CHOOSE(WEEKDAY(A294,2),"月","火","水","木","金","土","日"))</f>
        <v/>
      </c>
      <c r="O294" s="5" t="str">
        <f aca="false">IF(B294="","",IF(HOUR(B294)&lt;6,"深夜(0-5時)",IF(HOUR(B294)&lt;11,"朝(6-10時)",IF(HOUR(B294)&lt;15,"昼(11-14時)",IF(HOUR(B294)&lt;19,"夕方(15-18時)","夜(19-23時)")))))</f>
        <v/>
      </c>
      <c r="P294" s="32" t="str">
        <f aca="false">IF(M294="","",M294+ROW()/1000000000)</f>
        <v/>
      </c>
    </row>
    <row r="295" customFormat="false" ht="15" hidden="false" customHeight="false" outlineLevel="0" collapsed="false">
      <c r="A295" s="25"/>
      <c r="B295" s="26"/>
      <c r="C295" s="27"/>
      <c r="D295" s="28"/>
      <c r="E295" s="28"/>
      <c r="F295" s="29"/>
      <c r="G295" s="29"/>
      <c r="H295" s="29"/>
      <c r="I295" s="29"/>
      <c r="J295" s="29"/>
      <c r="K295" s="29"/>
      <c r="L295" s="30" t="str">
        <f aca="false">IF(A295="","",SUM(G295:K295))</f>
        <v/>
      </c>
      <c r="M295" s="31" t="str">
        <f aca="false">IF(A295="","",IF(F295=0,0,L295/F295))</f>
        <v/>
      </c>
      <c r="N295" s="5" t="str">
        <f aca="false">IF(A295="","",CHOOSE(WEEKDAY(A295,2),"月","火","水","木","金","土","日"))</f>
        <v/>
      </c>
      <c r="O295" s="5" t="str">
        <f aca="false">IF(B295="","",IF(HOUR(B295)&lt;6,"深夜(0-5時)",IF(HOUR(B295)&lt;11,"朝(6-10時)",IF(HOUR(B295)&lt;15,"昼(11-14時)",IF(HOUR(B295)&lt;19,"夕方(15-18時)","夜(19-23時)")))))</f>
        <v/>
      </c>
      <c r="P295" s="32" t="str">
        <f aca="false">IF(M295="","",M295+ROW()/1000000000)</f>
        <v/>
      </c>
    </row>
    <row r="296" customFormat="false" ht="15" hidden="false" customHeight="false" outlineLevel="0" collapsed="false">
      <c r="A296" s="25"/>
      <c r="B296" s="26"/>
      <c r="C296" s="27"/>
      <c r="D296" s="28"/>
      <c r="E296" s="28"/>
      <c r="F296" s="29"/>
      <c r="G296" s="29"/>
      <c r="H296" s="29"/>
      <c r="I296" s="29"/>
      <c r="J296" s="29"/>
      <c r="K296" s="29"/>
      <c r="L296" s="30" t="str">
        <f aca="false">IF(A296="","",SUM(G296:K296))</f>
        <v/>
      </c>
      <c r="M296" s="31" t="str">
        <f aca="false">IF(A296="","",IF(F296=0,0,L296/F296))</f>
        <v/>
      </c>
      <c r="N296" s="5" t="str">
        <f aca="false">IF(A296="","",CHOOSE(WEEKDAY(A296,2),"月","火","水","木","金","土","日"))</f>
        <v/>
      </c>
      <c r="O296" s="5" t="str">
        <f aca="false">IF(B296="","",IF(HOUR(B296)&lt;6,"深夜(0-5時)",IF(HOUR(B296)&lt;11,"朝(6-10時)",IF(HOUR(B296)&lt;15,"昼(11-14時)",IF(HOUR(B296)&lt;19,"夕方(15-18時)","夜(19-23時)")))))</f>
        <v/>
      </c>
      <c r="P296" s="32" t="str">
        <f aca="false">IF(M296="","",M296+ROW()/1000000000)</f>
        <v/>
      </c>
    </row>
    <row r="297" customFormat="false" ht="15" hidden="false" customHeight="false" outlineLevel="0" collapsed="false">
      <c r="A297" s="25"/>
      <c r="B297" s="26"/>
      <c r="C297" s="27"/>
      <c r="D297" s="28"/>
      <c r="E297" s="28"/>
      <c r="F297" s="29"/>
      <c r="G297" s="29"/>
      <c r="H297" s="29"/>
      <c r="I297" s="29"/>
      <c r="J297" s="29"/>
      <c r="K297" s="29"/>
      <c r="L297" s="30" t="str">
        <f aca="false">IF(A297="","",SUM(G297:K297))</f>
        <v/>
      </c>
      <c r="M297" s="31" t="str">
        <f aca="false">IF(A297="","",IF(F297=0,0,L297/F297))</f>
        <v/>
      </c>
      <c r="N297" s="5" t="str">
        <f aca="false">IF(A297="","",CHOOSE(WEEKDAY(A297,2),"月","火","水","木","金","土","日"))</f>
        <v/>
      </c>
      <c r="O297" s="5" t="str">
        <f aca="false">IF(B297="","",IF(HOUR(B297)&lt;6,"深夜(0-5時)",IF(HOUR(B297)&lt;11,"朝(6-10時)",IF(HOUR(B297)&lt;15,"昼(11-14時)",IF(HOUR(B297)&lt;19,"夕方(15-18時)","夜(19-23時)")))))</f>
        <v/>
      </c>
      <c r="P297" s="32" t="str">
        <f aca="false">IF(M297="","",M297+ROW()/1000000000)</f>
        <v/>
      </c>
    </row>
    <row r="298" customFormat="false" ht="15" hidden="false" customHeight="false" outlineLevel="0" collapsed="false">
      <c r="A298" s="25"/>
      <c r="B298" s="26"/>
      <c r="C298" s="27"/>
      <c r="D298" s="28"/>
      <c r="E298" s="28"/>
      <c r="F298" s="29"/>
      <c r="G298" s="29"/>
      <c r="H298" s="29"/>
      <c r="I298" s="29"/>
      <c r="J298" s="29"/>
      <c r="K298" s="29"/>
      <c r="L298" s="30" t="str">
        <f aca="false">IF(A298="","",SUM(G298:K298))</f>
        <v/>
      </c>
      <c r="M298" s="31" t="str">
        <f aca="false">IF(A298="","",IF(F298=0,0,L298/F298))</f>
        <v/>
      </c>
      <c r="N298" s="5" t="str">
        <f aca="false">IF(A298="","",CHOOSE(WEEKDAY(A298,2),"月","火","水","木","金","土","日"))</f>
        <v/>
      </c>
      <c r="O298" s="5" t="str">
        <f aca="false">IF(B298="","",IF(HOUR(B298)&lt;6,"深夜(0-5時)",IF(HOUR(B298)&lt;11,"朝(6-10時)",IF(HOUR(B298)&lt;15,"昼(11-14時)",IF(HOUR(B298)&lt;19,"夕方(15-18時)","夜(19-23時)")))))</f>
        <v/>
      </c>
      <c r="P298" s="32" t="str">
        <f aca="false">IF(M298="","",M298+ROW()/1000000000)</f>
        <v/>
      </c>
    </row>
    <row r="299" customFormat="false" ht="15" hidden="false" customHeight="false" outlineLevel="0" collapsed="false">
      <c r="A299" s="25"/>
      <c r="B299" s="26"/>
      <c r="C299" s="27"/>
      <c r="D299" s="28"/>
      <c r="E299" s="28"/>
      <c r="F299" s="29"/>
      <c r="G299" s="29"/>
      <c r="H299" s="29"/>
      <c r="I299" s="29"/>
      <c r="J299" s="29"/>
      <c r="K299" s="29"/>
      <c r="L299" s="30" t="str">
        <f aca="false">IF(A299="","",SUM(G299:K299))</f>
        <v/>
      </c>
      <c r="M299" s="31" t="str">
        <f aca="false">IF(A299="","",IF(F299=0,0,L299/F299))</f>
        <v/>
      </c>
      <c r="N299" s="5" t="str">
        <f aca="false">IF(A299="","",CHOOSE(WEEKDAY(A299,2),"月","火","水","木","金","土","日"))</f>
        <v/>
      </c>
      <c r="O299" s="5" t="str">
        <f aca="false">IF(B299="","",IF(HOUR(B299)&lt;6,"深夜(0-5時)",IF(HOUR(B299)&lt;11,"朝(6-10時)",IF(HOUR(B299)&lt;15,"昼(11-14時)",IF(HOUR(B299)&lt;19,"夕方(15-18時)","夜(19-23時)")))))</f>
        <v/>
      </c>
      <c r="P299" s="32" t="str">
        <f aca="false">IF(M299="","",M299+ROW()/1000000000)</f>
        <v/>
      </c>
    </row>
    <row r="300" customFormat="false" ht="15" hidden="false" customHeight="false" outlineLevel="0" collapsed="false">
      <c r="A300" s="25"/>
      <c r="B300" s="26"/>
      <c r="C300" s="27"/>
      <c r="D300" s="28"/>
      <c r="E300" s="28"/>
      <c r="F300" s="29"/>
      <c r="G300" s="29"/>
      <c r="H300" s="29"/>
      <c r="I300" s="29"/>
      <c r="J300" s="29"/>
      <c r="K300" s="29"/>
      <c r="L300" s="30" t="str">
        <f aca="false">IF(A300="","",SUM(G300:K300))</f>
        <v/>
      </c>
      <c r="M300" s="31" t="str">
        <f aca="false">IF(A300="","",IF(F300=0,0,L300/F300))</f>
        <v/>
      </c>
      <c r="N300" s="5" t="str">
        <f aca="false">IF(A300="","",CHOOSE(WEEKDAY(A300,2),"月","火","水","木","金","土","日"))</f>
        <v/>
      </c>
      <c r="O300" s="5" t="str">
        <f aca="false">IF(B300="","",IF(HOUR(B300)&lt;6,"深夜(0-5時)",IF(HOUR(B300)&lt;11,"朝(6-10時)",IF(HOUR(B300)&lt;15,"昼(11-14時)",IF(HOUR(B300)&lt;19,"夕方(15-18時)","夜(19-23時)")))))</f>
        <v/>
      </c>
      <c r="P300" s="32" t="str">
        <f aca="false">IF(M300="","",M300+ROW()/1000000000)</f>
        <v/>
      </c>
    </row>
    <row r="301" customFormat="false" ht="15" hidden="false" customHeight="false" outlineLevel="0" collapsed="false">
      <c r="A301" s="25"/>
      <c r="B301" s="26"/>
      <c r="C301" s="27"/>
      <c r="D301" s="28"/>
      <c r="E301" s="28"/>
      <c r="F301" s="29"/>
      <c r="G301" s="29"/>
      <c r="H301" s="29"/>
      <c r="I301" s="29"/>
      <c r="J301" s="29"/>
      <c r="K301" s="29"/>
      <c r="L301" s="30" t="str">
        <f aca="false">IF(A301="","",SUM(G301:K301))</f>
        <v/>
      </c>
      <c r="M301" s="31" t="str">
        <f aca="false">IF(A301="","",IF(F301=0,0,L301/F301))</f>
        <v/>
      </c>
      <c r="N301" s="5" t="str">
        <f aca="false">IF(A301="","",CHOOSE(WEEKDAY(A301,2),"月","火","水","木","金","土","日"))</f>
        <v/>
      </c>
      <c r="O301" s="5" t="str">
        <f aca="false">IF(B301="","",IF(HOUR(B301)&lt;6,"深夜(0-5時)",IF(HOUR(B301)&lt;11,"朝(6-10時)",IF(HOUR(B301)&lt;15,"昼(11-14時)",IF(HOUR(B301)&lt;19,"夕方(15-18時)","夜(19-23時)")))))</f>
        <v/>
      </c>
      <c r="P301" s="32" t="str">
        <f aca="false">IF(M301="","",M301+ROW()/1000000000)</f>
        <v/>
      </c>
    </row>
    <row r="302" customFormat="false" ht="15" hidden="false" customHeight="false" outlineLevel="0" collapsed="false">
      <c r="A302" s="25"/>
      <c r="B302" s="26"/>
      <c r="C302" s="27"/>
      <c r="D302" s="28"/>
      <c r="E302" s="28"/>
      <c r="F302" s="29"/>
      <c r="G302" s="29"/>
      <c r="H302" s="29"/>
      <c r="I302" s="29"/>
      <c r="J302" s="29"/>
      <c r="K302" s="29"/>
      <c r="L302" s="30" t="str">
        <f aca="false">IF(A302="","",SUM(G302:K302))</f>
        <v/>
      </c>
      <c r="M302" s="31" t="str">
        <f aca="false">IF(A302="","",IF(F302=0,0,L302/F302))</f>
        <v/>
      </c>
      <c r="N302" s="5" t="str">
        <f aca="false">IF(A302="","",CHOOSE(WEEKDAY(A302,2),"月","火","水","木","金","土","日"))</f>
        <v/>
      </c>
      <c r="O302" s="5" t="str">
        <f aca="false">IF(B302="","",IF(HOUR(B302)&lt;6,"深夜(0-5時)",IF(HOUR(B302)&lt;11,"朝(6-10時)",IF(HOUR(B302)&lt;15,"昼(11-14時)",IF(HOUR(B302)&lt;19,"夕方(15-18時)","夜(19-23時)")))))</f>
        <v/>
      </c>
      <c r="P302" s="32" t="str">
        <f aca="false">IF(M302="","",M302+ROW()/1000000000)</f>
        <v/>
      </c>
    </row>
    <row r="303" customFormat="false" ht="15" hidden="false" customHeight="false" outlineLevel="0" collapsed="false">
      <c r="A303" s="25"/>
      <c r="B303" s="26"/>
      <c r="C303" s="27"/>
      <c r="D303" s="28"/>
      <c r="E303" s="28"/>
      <c r="F303" s="29"/>
      <c r="G303" s="29"/>
      <c r="H303" s="29"/>
      <c r="I303" s="29"/>
      <c r="J303" s="29"/>
      <c r="K303" s="29"/>
      <c r="L303" s="30" t="str">
        <f aca="false">IF(A303="","",SUM(G303:K303))</f>
        <v/>
      </c>
      <c r="M303" s="31" t="str">
        <f aca="false">IF(A303="","",IF(F303=0,0,L303/F303))</f>
        <v/>
      </c>
      <c r="N303" s="5" t="str">
        <f aca="false">IF(A303="","",CHOOSE(WEEKDAY(A303,2),"月","火","水","木","金","土","日"))</f>
        <v/>
      </c>
      <c r="O303" s="5" t="str">
        <f aca="false">IF(B303="","",IF(HOUR(B303)&lt;6,"深夜(0-5時)",IF(HOUR(B303)&lt;11,"朝(6-10時)",IF(HOUR(B303)&lt;15,"昼(11-14時)",IF(HOUR(B303)&lt;19,"夕方(15-18時)","夜(19-23時)")))))</f>
        <v/>
      </c>
      <c r="P303" s="32" t="str">
        <f aca="false">IF(M303="","",M303+ROW()/1000000000)</f>
        <v/>
      </c>
    </row>
    <row r="304" customFormat="false" ht="15" hidden="false" customHeight="false" outlineLevel="0" collapsed="false">
      <c r="A304" s="25"/>
      <c r="B304" s="26"/>
      <c r="C304" s="27"/>
      <c r="D304" s="28"/>
      <c r="E304" s="28"/>
      <c r="F304" s="29"/>
      <c r="G304" s="29"/>
      <c r="H304" s="29"/>
      <c r="I304" s="29"/>
      <c r="J304" s="29"/>
      <c r="K304" s="29"/>
      <c r="L304" s="30" t="str">
        <f aca="false">IF(A304="","",SUM(G304:K304))</f>
        <v/>
      </c>
      <c r="M304" s="31" t="str">
        <f aca="false">IF(A304="","",IF(F304=0,0,L304/F304))</f>
        <v/>
      </c>
      <c r="N304" s="5" t="str">
        <f aca="false">IF(A304="","",CHOOSE(WEEKDAY(A304,2),"月","火","水","木","金","土","日"))</f>
        <v/>
      </c>
      <c r="O304" s="5" t="str">
        <f aca="false">IF(B304="","",IF(HOUR(B304)&lt;6,"深夜(0-5時)",IF(HOUR(B304)&lt;11,"朝(6-10時)",IF(HOUR(B304)&lt;15,"昼(11-14時)",IF(HOUR(B304)&lt;19,"夕方(15-18時)","夜(19-23時)")))))</f>
        <v/>
      </c>
      <c r="P304" s="32" t="str">
        <f aca="false">IF(M304="","",M304+ROW()/1000000000)</f>
        <v/>
      </c>
    </row>
    <row r="305" customFormat="false" ht="15" hidden="false" customHeight="false" outlineLevel="0" collapsed="false">
      <c r="A305" s="25"/>
      <c r="B305" s="26"/>
      <c r="C305" s="27"/>
      <c r="D305" s="28"/>
      <c r="E305" s="28"/>
      <c r="F305" s="29"/>
      <c r="G305" s="29"/>
      <c r="H305" s="29"/>
      <c r="I305" s="29"/>
      <c r="J305" s="29"/>
      <c r="K305" s="29"/>
      <c r="L305" s="30" t="str">
        <f aca="false">IF(A305="","",SUM(G305:K305))</f>
        <v/>
      </c>
      <c r="M305" s="31" t="str">
        <f aca="false">IF(A305="","",IF(F305=0,0,L305/F305))</f>
        <v/>
      </c>
      <c r="N305" s="5" t="str">
        <f aca="false">IF(A305="","",CHOOSE(WEEKDAY(A305,2),"月","火","水","木","金","土","日"))</f>
        <v/>
      </c>
      <c r="O305" s="5" t="str">
        <f aca="false">IF(B305="","",IF(HOUR(B305)&lt;6,"深夜(0-5時)",IF(HOUR(B305)&lt;11,"朝(6-10時)",IF(HOUR(B305)&lt;15,"昼(11-14時)",IF(HOUR(B305)&lt;19,"夕方(15-18時)","夜(19-23時)")))))</f>
        <v/>
      </c>
      <c r="P305" s="32" t="str">
        <f aca="false">IF(M305="","",M305+ROW()/1000000000)</f>
        <v/>
      </c>
    </row>
    <row r="306" customFormat="false" ht="15" hidden="false" customHeight="false" outlineLevel="0" collapsed="false">
      <c r="A306" s="25"/>
      <c r="B306" s="26"/>
      <c r="C306" s="27"/>
      <c r="D306" s="28"/>
      <c r="E306" s="28"/>
      <c r="F306" s="29"/>
      <c r="G306" s="29"/>
      <c r="H306" s="29"/>
      <c r="I306" s="29"/>
      <c r="J306" s="29"/>
      <c r="K306" s="29"/>
      <c r="L306" s="30" t="str">
        <f aca="false">IF(A306="","",SUM(G306:K306))</f>
        <v/>
      </c>
      <c r="M306" s="31" t="str">
        <f aca="false">IF(A306="","",IF(F306=0,0,L306/F306))</f>
        <v/>
      </c>
      <c r="N306" s="5" t="str">
        <f aca="false">IF(A306="","",CHOOSE(WEEKDAY(A306,2),"月","火","水","木","金","土","日"))</f>
        <v/>
      </c>
      <c r="O306" s="5" t="str">
        <f aca="false">IF(B306="","",IF(HOUR(B306)&lt;6,"深夜(0-5時)",IF(HOUR(B306)&lt;11,"朝(6-10時)",IF(HOUR(B306)&lt;15,"昼(11-14時)",IF(HOUR(B306)&lt;19,"夕方(15-18時)","夜(19-23時)")))))</f>
        <v/>
      </c>
      <c r="P306" s="32" t="str">
        <f aca="false">IF(M306="","",M306+ROW()/1000000000)</f>
        <v/>
      </c>
    </row>
    <row r="307" customFormat="false" ht="15" hidden="false" customHeight="false" outlineLevel="0" collapsed="false">
      <c r="A307" s="25"/>
      <c r="B307" s="26"/>
      <c r="C307" s="27"/>
      <c r="D307" s="28"/>
      <c r="E307" s="28"/>
      <c r="F307" s="29"/>
      <c r="G307" s="29"/>
      <c r="H307" s="29"/>
      <c r="I307" s="29"/>
      <c r="J307" s="29"/>
      <c r="K307" s="29"/>
      <c r="L307" s="30" t="str">
        <f aca="false">IF(A307="","",SUM(G307:K307))</f>
        <v/>
      </c>
      <c r="M307" s="31" t="str">
        <f aca="false">IF(A307="","",IF(F307=0,0,L307/F307))</f>
        <v/>
      </c>
      <c r="N307" s="5" t="str">
        <f aca="false">IF(A307="","",CHOOSE(WEEKDAY(A307,2),"月","火","水","木","金","土","日"))</f>
        <v/>
      </c>
      <c r="O307" s="5" t="str">
        <f aca="false">IF(B307="","",IF(HOUR(B307)&lt;6,"深夜(0-5時)",IF(HOUR(B307)&lt;11,"朝(6-10時)",IF(HOUR(B307)&lt;15,"昼(11-14時)",IF(HOUR(B307)&lt;19,"夕方(15-18時)","夜(19-23時)")))))</f>
        <v/>
      </c>
      <c r="P307" s="32" t="str">
        <f aca="false">IF(M307="","",M307+ROW()/1000000000)</f>
        <v/>
      </c>
    </row>
    <row r="308" customFormat="false" ht="15" hidden="false" customHeight="false" outlineLevel="0" collapsed="false">
      <c r="A308" s="25"/>
      <c r="B308" s="26"/>
      <c r="C308" s="27"/>
      <c r="D308" s="28"/>
      <c r="E308" s="28"/>
      <c r="F308" s="29"/>
      <c r="G308" s="29"/>
      <c r="H308" s="29"/>
      <c r="I308" s="29"/>
      <c r="J308" s="29"/>
      <c r="K308" s="29"/>
      <c r="L308" s="30" t="str">
        <f aca="false">IF(A308="","",SUM(G308:K308))</f>
        <v/>
      </c>
      <c r="M308" s="31" t="str">
        <f aca="false">IF(A308="","",IF(F308=0,0,L308/F308))</f>
        <v/>
      </c>
      <c r="N308" s="5" t="str">
        <f aca="false">IF(A308="","",CHOOSE(WEEKDAY(A308,2),"月","火","水","木","金","土","日"))</f>
        <v/>
      </c>
      <c r="O308" s="5" t="str">
        <f aca="false">IF(B308="","",IF(HOUR(B308)&lt;6,"深夜(0-5時)",IF(HOUR(B308)&lt;11,"朝(6-10時)",IF(HOUR(B308)&lt;15,"昼(11-14時)",IF(HOUR(B308)&lt;19,"夕方(15-18時)","夜(19-23時)")))))</f>
        <v/>
      </c>
      <c r="P308" s="32" t="str">
        <f aca="false">IF(M308="","",M308+ROW()/1000000000)</f>
        <v/>
      </c>
    </row>
    <row r="309" customFormat="false" ht="15" hidden="false" customHeight="false" outlineLevel="0" collapsed="false">
      <c r="A309" s="25"/>
      <c r="B309" s="26"/>
      <c r="C309" s="27"/>
      <c r="D309" s="28"/>
      <c r="E309" s="28"/>
      <c r="F309" s="29"/>
      <c r="G309" s="29"/>
      <c r="H309" s="29"/>
      <c r="I309" s="29"/>
      <c r="J309" s="29"/>
      <c r="K309" s="29"/>
      <c r="L309" s="30" t="str">
        <f aca="false">IF(A309="","",SUM(G309:K309))</f>
        <v/>
      </c>
      <c r="M309" s="31" t="str">
        <f aca="false">IF(A309="","",IF(F309=0,0,L309/F309))</f>
        <v/>
      </c>
      <c r="N309" s="5" t="str">
        <f aca="false">IF(A309="","",CHOOSE(WEEKDAY(A309,2),"月","火","水","木","金","土","日"))</f>
        <v/>
      </c>
      <c r="O309" s="5" t="str">
        <f aca="false">IF(B309="","",IF(HOUR(B309)&lt;6,"深夜(0-5時)",IF(HOUR(B309)&lt;11,"朝(6-10時)",IF(HOUR(B309)&lt;15,"昼(11-14時)",IF(HOUR(B309)&lt;19,"夕方(15-18時)","夜(19-23時)")))))</f>
        <v/>
      </c>
      <c r="P309" s="32" t="str">
        <f aca="false">IF(M309="","",M309+ROW()/1000000000)</f>
        <v/>
      </c>
    </row>
    <row r="310" customFormat="false" ht="15" hidden="false" customHeight="false" outlineLevel="0" collapsed="false">
      <c r="A310" s="25"/>
      <c r="B310" s="26"/>
      <c r="C310" s="27"/>
      <c r="D310" s="28"/>
      <c r="E310" s="28"/>
      <c r="F310" s="29"/>
      <c r="G310" s="29"/>
      <c r="H310" s="29"/>
      <c r="I310" s="29"/>
      <c r="J310" s="29"/>
      <c r="K310" s="29"/>
      <c r="L310" s="30" t="str">
        <f aca="false">IF(A310="","",SUM(G310:K310))</f>
        <v/>
      </c>
      <c r="M310" s="31" t="str">
        <f aca="false">IF(A310="","",IF(F310=0,0,L310/F310))</f>
        <v/>
      </c>
      <c r="N310" s="5" t="str">
        <f aca="false">IF(A310="","",CHOOSE(WEEKDAY(A310,2),"月","火","水","木","金","土","日"))</f>
        <v/>
      </c>
      <c r="O310" s="5" t="str">
        <f aca="false">IF(B310="","",IF(HOUR(B310)&lt;6,"深夜(0-5時)",IF(HOUR(B310)&lt;11,"朝(6-10時)",IF(HOUR(B310)&lt;15,"昼(11-14時)",IF(HOUR(B310)&lt;19,"夕方(15-18時)","夜(19-23時)")))))</f>
        <v/>
      </c>
      <c r="P310" s="32" t="str">
        <f aca="false">IF(M310="","",M310+ROW()/1000000000)</f>
        <v/>
      </c>
    </row>
    <row r="311" customFormat="false" ht="15" hidden="false" customHeight="false" outlineLevel="0" collapsed="false">
      <c r="A311" s="25"/>
      <c r="B311" s="26"/>
      <c r="C311" s="27"/>
      <c r="D311" s="28"/>
      <c r="E311" s="28"/>
      <c r="F311" s="29"/>
      <c r="G311" s="29"/>
      <c r="H311" s="29"/>
      <c r="I311" s="29"/>
      <c r="J311" s="29"/>
      <c r="K311" s="29"/>
      <c r="L311" s="30" t="str">
        <f aca="false">IF(A311="","",SUM(G311:K311))</f>
        <v/>
      </c>
      <c r="M311" s="31" t="str">
        <f aca="false">IF(A311="","",IF(F311=0,0,L311/F311))</f>
        <v/>
      </c>
      <c r="N311" s="5" t="str">
        <f aca="false">IF(A311="","",CHOOSE(WEEKDAY(A311,2),"月","火","水","木","金","土","日"))</f>
        <v/>
      </c>
      <c r="O311" s="5" t="str">
        <f aca="false">IF(B311="","",IF(HOUR(B311)&lt;6,"深夜(0-5時)",IF(HOUR(B311)&lt;11,"朝(6-10時)",IF(HOUR(B311)&lt;15,"昼(11-14時)",IF(HOUR(B311)&lt;19,"夕方(15-18時)","夜(19-23時)")))))</f>
        <v/>
      </c>
      <c r="P311" s="32" t="str">
        <f aca="false">IF(M311="","",M311+ROW()/1000000000)</f>
        <v/>
      </c>
    </row>
    <row r="312" customFormat="false" ht="15" hidden="false" customHeight="false" outlineLevel="0" collapsed="false">
      <c r="A312" s="25"/>
      <c r="B312" s="26"/>
      <c r="C312" s="27"/>
      <c r="D312" s="28"/>
      <c r="E312" s="28"/>
      <c r="F312" s="29"/>
      <c r="G312" s="29"/>
      <c r="H312" s="29"/>
      <c r="I312" s="29"/>
      <c r="J312" s="29"/>
      <c r="K312" s="29"/>
      <c r="L312" s="30" t="str">
        <f aca="false">IF(A312="","",SUM(G312:K312))</f>
        <v/>
      </c>
      <c r="M312" s="31" t="str">
        <f aca="false">IF(A312="","",IF(F312=0,0,L312/F312))</f>
        <v/>
      </c>
      <c r="N312" s="5" t="str">
        <f aca="false">IF(A312="","",CHOOSE(WEEKDAY(A312,2),"月","火","水","木","金","土","日"))</f>
        <v/>
      </c>
      <c r="O312" s="5" t="str">
        <f aca="false">IF(B312="","",IF(HOUR(B312)&lt;6,"深夜(0-5時)",IF(HOUR(B312)&lt;11,"朝(6-10時)",IF(HOUR(B312)&lt;15,"昼(11-14時)",IF(HOUR(B312)&lt;19,"夕方(15-18時)","夜(19-23時)")))))</f>
        <v/>
      </c>
      <c r="P312" s="32" t="str">
        <f aca="false">IF(M312="","",M312+ROW()/1000000000)</f>
        <v/>
      </c>
    </row>
    <row r="313" customFormat="false" ht="15" hidden="false" customHeight="false" outlineLevel="0" collapsed="false">
      <c r="A313" s="25"/>
      <c r="B313" s="26"/>
      <c r="C313" s="27"/>
      <c r="D313" s="28"/>
      <c r="E313" s="28"/>
      <c r="F313" s="29"/>
      <c r="G313" s="29"/>
      <c r="H313" s="29"/>
      <c r="I313" s="29"/>
      <c r="J313" s="29"/>
      <c r="K313" s="29"/>
      <c r="L313" s="30" t="str">
        <f aca="false">IF(A313="","",SUM(G313:K313))</f>
        <v/>
      </c>
      <c r="M313" s="31" t="str">
        <f aca="false">IF(A313="","",IF(F313=0,0,L313/F313))</f>
        <v/>
      </c>
      <c r="N313" s="5" t="str">
        <f aca="false">IF(A313="","",CHOOSE(WEEKDAY(A313,2),"月","火","水","木","金","土","日"))</f>
        <v/>
      </c>
      <c r="O313" s="5" t="str">
        <f aca="false">IF(B313="","",IF(HOUR(B313)&lt;6,"深夜(0-5時)",IF(HOUR(B313)&lt;11,"朝(6-10時)",IF(HOUR(B313)&lt;15,"昼(11-14時)",IF(HOUR(B313)&lt;19,"夕方(15-18時)","夜(19-23時)")))))</f>
        <v/>
      </c>
      <c r="P313" s="32" t="str">
        <f aca="false">IF(M313="","",M313+ROW()/1000000000)</f>
        <v/>
      </c>
    </row>
    <row r="314" customFormat="false" ht="15" hidden="false" customHeight="false" outlineLevel="0" collapsed="false">
      <c r="A314" s="25"/>
      <c r="B314" s="26"/>
      <c r="C314" s="27"/>
      <c r="D314" s="28"/>
      <c r="E314" s="28"/>
      <c r="F314" s="29"/>
      <c r="G314" s="29"/>
      <c r="H314" s="29"/>
      <c r="I314" s="29"/>
      <c r="J314" s="29"/>
      <c r="K314" s="29"/>
      <c r="L314" s="30" t="str">
        <f aca="false">IF(A314="","",SUM(G314:K314))</f>
        <v/>
      </c>
      <c r="M314" s="31" t="str">
        <f aca="false">IF(A314="","",IF(F314=0,0,L314/F314))</f>
        <v/>
      </c>
      <c r="N314" s="5" t="str">
        <f aca="false">IF(A314="","",CHOOSE(WEEKDAY(A314,2),"月","火","水","木","金","土","日"))</f>
        <v/>
      </c>
      <c r="O314" s="5" t="str">
        <f aca="false">IF(B314="","",IF(HOUR(B314)&lt;6,"深夜(0-5時)",IF(HOUR(B314)&lt;11,"朝(6-10時)",IF(HOUR(B314)&lt;15,"昼(11-14時)",IF(HOUR(B314)&lt;19,"夕方(15-18時)","夜(19-23時)")))))</f>
        <v/>
      </c>
      <c r="P314" s="32" t="str">
        <f aca="false">IF(M314="","",M314+ROW()/1000000000)</f>
        <v/>
      </c>
    </row>
    <row r="315" customFormat="false" ht="15" hidden="false" customHeight="false" outlineLevel="0" collapsed="false">
      <c r="A315" s="25"/>
      <c r="B315" s="26"/>
      <c r="C315" s="27"/>
      <c r="D315" s="28"/>
      <c r="E315" s="28"/>
      <c r="F315" s="29"/>
      <c r="G315" s="29"/>
      <c r="H315" s="29"/>
      <c r="I315" s="29"/>
      <c r="J315" s="29"/>
      <c r="K315" s="29"/>
      <c r="L315" s="30" t="str">
        <f aca="false">IF(A315="","",SUM(G315:K315))</f>
        <v/>
      </c>
      <c r="M315" s="31" t="str">
        <f aca="false">IF(A315="","",IF(F315=0,0,L315/F315))</f>
        <v/>
      </c>
      <c r="N315" s="5" t="str">
        <f aca="false">IF(A315="","",CHOOSE(WEEKDAY(A315,2),"月","火","水","木","金","土","日"))</f>
        <v/>
      </c>
      <c r="O315" s="5" t="str">
        <f aca="false">IF(B315="","",IF(HOUR(B315)&lt;6,"深夜(0-5時)",IF(HOUR(B315)&lt;11,"朝(6-10時)",IF(HOUR(B315)&lt;15,"昼(11-14時)",IF(HOUR(B315)&lt;19,"夕方(15-18時)","夜(19-23時)")))))</f>
        <v/>
      </c>
      <c r="P315" s="32" t="str">
        <f aca="false">IF(M315="","",M315+ROW()/1000000000)</f>
        <v/>
      </c>
    </row>
    <row r="316" customFormat="false" ht="15" hidden="false" customHeight="false" outlineLevel="0" collapsed="false">
      <c r="A316" s="25"/>
      <c r="B316" s="26"/>
      <c r="C316" s="27"/>
      <c r="D316" s="28"/>
      <c r="E316" s="28"/>
      <c r="F316" s="29"/>
      <c r="G316" s="29"/>
      <c r="H316" s="29"/>
      <c r="I316" s="29"/>
      <c r="J316" s="29"/>
      <c r="K316" s="29"/>
      <c r="L316" s="30" t="str">
        <f aca="false">IF(A316="","",SUM(G316:K316))</f>
        <v/>
      </c>
      <c r="M316" s="31" t="str">
        <f aca="false">IF(A316="","",IF(F316=0,0,L316/F316))</f>
        <v/>
      </c>
      <c r="N316" s="5" t="str">
        <f aca="false">IF(A316="","",CHOOSE(WEEKDAY(A316,2),"月","火","水","木","金","土","日"))</f>
        <v/>
      </c>
      <c r="O316" s="5" t="str">
        <f aca="false">IF(B316="","",IF(HOUR(B316)&lt;6,"深夜(0-5時)",IF(HOUR(B316)&lt;11,"朝(6-10時)",IF(HOUR(B316)&lt;15,"昼(11-14時)",IF(HOUR(B316)&lt;19,"夕方(15-18時)","夜(19-23時)")))))</f>
        <v/>
      </c>
      <c r="P316" s="32" t="str">
        <f aca="false">IF(M316="","",M316+ROW()/1000000000)</f>
        <v/>
      </c>
    </row>
    <row r="317" customFormat="false" ht="15" hidden="false" customHeight="false" outlineLevel="0" collapsed="false">
      <c r="A317" s="25"/>
      <c r="B317" s="26"/>
      <c r="C317" s="27"/>
      <c r="D317" s="28"/>
      <c r="E317" s="28"/>
      <c r="F317" s="29"/>
      <c r="G317" s="29"/>
      <c r="H317" s="29"/>
      <c r="I317" s="29"/>
      <c r="J317" s="29"/>
      <c r="K317" s="29"/>
      <c r="L317" s="30" t="str">
        <f aca="false">IF(A317="","",SUM(G317:K317))</f>
        <v/>
      </c>
      <c r="M317" s="31" t="str">
        <f aca="false">IF(A317="","",IF(F317=0,0,L317/F317))</f>
        <v/>
      </c>
      <c r="N317" s="5" t="str">
        <f aca="false">IF(A317="","",CHOOSE(WEEKDAY(A317,2),"月","火","水","木","金","土","日"))</f>
        <v/>
      </c>
      <c r="O317" s="5" t="str">
        <f aca="false">IF(B317="","",IF(HOUR(B317)&lt;6,"深夜(0-5時)",IF(HOUR(B317)&lt;11,"朝(6-10時)",IF(HOUR(B317)&lt;15,"昼(11-14時)",IF(HOUR(B317)&lt;19,"夕方(15-18時)","夜(19-23時)")))))</f>
        <v/>
      </c>
      <c r="P317" s="32" t="str">
        <f aca="false">IF(M317="","",M317+ROW()/1000000000)</f>
        <v/>
      </c>
    </row>
    <row r="318" customFormat="false" ht="15" hidden="false" customHeight="false" outlineLevel="0" collapsed="false">
      <c r="A318" s="25"/>
      <c r="B318" s="26"/>
      <c r="C318" s="27"/>
      <c r="D318" s="28"/>
      <c r="E318" s="28"/>
      <c r="F318" s="29"/>
      <c r="G318" s="29"/>
      <c r="H318" s="29"/>
      <c r="I318" s="29"/>
      <c r="J318" s="29"/>
      <c r="K318" s="29"/>
      <c r="L318" s="30" t="str">
        <f aca="false">IF(A318="","",SUM(G318:K318))</f>
        <v/>
      </c>
      <c r="M318" s="31" t="str">
        <f aca="false">IF(A318="","",IF(F318=0,0,L318/F318))</f>
        <v/>
      </c>
      <c r="N318" s="5" t="str">
        <f aca="false">IF(A318="","",CHOOSE(WEEKDAY(A318,2),"月","火","水","木","金","土","日"))</f>
        <v/>
      </c>
      <c r="O318" s="5" t="str">
        <f aca="false">IF(B318="","",IF(HOUR(B318)&lt;6,"深夜(0-5時)",IF(HOUR(B318)&lt;11,"朝(6-10時)",IF(HOUR(B318)&lt;15,"昼(11-14時)",IF(HOUR(B318)&lt;19,"夕方(15-18時)","夜(19-23時)")))))</f>
        <v/>
      </c>
      <c r="P318" s="32" t="str">
        <f aca="false">IF(M318="","",M318+ROW()/1000000000)</f>
        <v/>
      </c>
    </row>
    <row r="319" customFormat="false" ht="15" hidden="false" customHeight="false" outlineLevel="0" collapsed="false">
      <c r="A319" s="25"/>
      <c r="B319" s="26"/>
      <c r="C319" s="27"/>
      <c r="D319" s="28"/>
      <c r="E319" s="28"/>
      <c r="F319" s="29"/>
      <c r="G319" s="29"/>
      <c r="H319" s="29"/>
      <c r="I319" s="29"/>
      <c r="J319" s="29"/>
      <c r="K319" s="29"/>
      <c r="L319" s="30" t="str">
        <f aca="false">IF(A319="","",SUM(G319:K319))</f>
        <v/>
      </c>
      <c r="M319" s="31" t="str">
        <f aca="false">IF(A319="","",IF(F319=0,0,L319/F319))</f>
        <v/>
      </c>
      <c r="N319" s="5" t="str">
        <f aca="false">IF(A319="","",CHOOSE(WEEKDAY(A319,2),"月","火","水","木","金","土","日"))</f>
        <v/>
      </c>
      <c r="O319" s="5" t="str">
        <f aca="false">IF(B319="","",IF(HOUR(B319)&lt;6,"深夜(0-5時)",IF(HOUR(B319)&lt;11,"朝(6-10時)",IF(HOUR(B319)&lt;15,"昼(11-14時)",IF(HOUR(B319)&lt;19,"夕方(15-18時)","夜(19-23時)")))))</f>
        <v/>
      </c>
      <c r="P319" s="32" t="str">
        <f aca="false">IF(M319="","",M319+ROW()/1000000000)</f>
        <v/>
      </c>
    </row>
    <row r="320" customFormat="false" ht="15" hidden="false" customHeight="false" outlineLevel="0" collapsed="false">
      <c r="A320" s="25"/>
      <c r="B320" s="26"/>
      <c r="C320" s="27"/>
      <c r="D320" s="28"/>
      <c r="E320" s="28"/>
      <c r="F320" s="29"/>
      <c r="G320" s="29"/>
      <c r="H320" s="29"/>
      <c r="I320" s="29"/>
      <c r="J320" s="29"/>
      <c r="K320" s="29"/>
      <c r="L320" s="30" t="str">
        <f aca="false">IF(A320="","",SUM(G320:K320))</f>
        <v/>
      </c>
      <c r="M320" s="31" t="str">
        <f aca="false">IF(A320="","",IF(F320=0,0,L320/F320))</f>
        <v/>
      </c>
      <c r="N320" s="5" t="str">
        <f aca="false">IF(A320="","",CHOOSE(WEEKDAY(A320,2),"月","火","水","木","金","土","日"))</f>
        <v/>
      </c>
      <c r="O320" s="5" t="str">
        <f aca="false">IF(B320="","",IF(HOUR(B320)&lt;6,"深夜(0-5時)",IF(HOUR(B320)&lt;11,"朝(6-10時)",IF(HOUR(B320)&lt;15,"昼(11-14時)",IF(HOUR(B320)&lt;19,"夕方(15-18時)","夜(19-23時)")))))</f>
        <v/>
      </c>
      <c r="P320" s="32" t="str">
        <f aca="false">IF(M320="","",M320+ROW()/1000000000)</f>
        <v/>
      </c>
    </row>
    <row r="321" customFormat="false" ht="15" hidden="false" customHeight="false" outlineLevel="0" collapsed="false">
      <c r="A321" s="25"/>
      <c r="B321" s="26"/>
      <c r="C321" s="27"/>
      <c r="D321" s="28"/>
      <c r="E321" s="28"/>
      <c r="F321" s="29"/>
      <c r="G321" s="29"/>
      <c r="H321" s="29"/>
      <c r="I321" s="29"/>
      <c r="J321" s="29"/>
      <c r="K321" s="29"/>
      <c r="L321" s="30" t="str">
        <f aca="false">IF(A321="","",SUM(G321:K321))</f>
        <v/>
      </c>
      <c r="M321" s="31" t="str">
        <f aca="false">IF(A321="","",IF(F321=0,0,L321/F321))</f>
        <v/>
      </c>
      <c r="N321" s="5" t="str">
        <f aca="false">IF(A321="","",CHOOSE(WEEKDAY(A321,2),"月","火","水","木","金","土","日"))</f>
        <v/>
      </c>
      <c r="O321" s="5" t="str">
        <f aca="false">IF(B321="","",IF(HOUR(B321)&lt;6,"深夜(0-5時)",IF(HOUR(B321)&lt;11,"朝(6-10時)",IF(HOUR(B321)&lt;15,"昼(11-14時)",IF(HOUR(B321)&lt;19,"夕方(15-18時)","夜(19-23時)")))))</f>
        <v/>
      </c>
      <c r="P321" s="32" t="str">
        <f aca="false">IF(M321="","",M321+ROW()/1000000000)</f>
        <v/>
      </c>
    </row>
    <row r="322" customFormat="false" ht="15" hidden="false" customHeight="false" outlineLevel="0" collapsed="false">
      <c r="A322" s="25"/>
      <c r="B322" s="26"/>
      <c r="C322" s="27"/>
      <c r="D322" s="28"/>
      <c r="E322" s="28"/>
      <c r="F322" s="29"/>
      <c r="G322" s="29"/>
      <c r="H322" s="29"/>
      <c r="I322" s="29"/>
      <c r="J322" s="29"/>
      <c r="K322" s="29"/>
      <c r="L322" s="30" t="str">
        <f aca="false">IF(A322="","",SUM(G322:K322))</f>
        <v/>
      </c>
      <c r="M322" s="31" t="str">
        <f aca="false">IF(A322="","",IF(F322=0,0,L322/F322))</f>
        <v/>
      </c>
      <c r="N322" s="5" t="str">
        <f aca="false">IF(A322="","",CHOOSE(WEEKDAY(A322,2),"月","火","水","木","金","土","日"))</f>
        <v/>
      </c>
      <c r="O322" s="5" t="str">
        <f aca="false">IF(B322="","",IF(HOUR(B322)&lt;6,"深夜(0-5時)",IF(HOUR(B322)&lt;11,"朝(6-10時)",IF(HOUR(B322)&lt;15,"昼(11-14時)",IF(HOUR(B322)&lt;19,"夕方(15-18時)","夜(19-23時)")))))</f>
        <v/>
      </c>
      <c r="P322" s="32" t="str">
        <f aca="false">IF(M322="","",M322+ROW()/1000000000)</f>
        <v/>
      </c>
    </row>
    <row r="323" customFormat="false" ht="15" hidden="false" customHeight="false" outlineLevel="0" collapsed="false">
      <c r="A323" s="25"/>
      <c r="B323" s="26"/>
      <c r="C323" s="27"/>
      <c r="D323" s="28"/>
      <c r="E323" s="28"/>
      <c r="F323" s="29"/>
      <c r="G323" s="29"/>
      <c r="H323" s="29"/>
      <c r="I323" s="29"/>
      <c r="J323" s="29"/>
      <c r="K323" s="29"/>
      <c r="L323" s="30" t="str">
        <f aca="false">IF(A323="","",SUM(G323:K323))</f>
        <v/>
      </c>
      <c r="M323" s="31" t="str">
        <f aca="false">IF(A323="","",IF(F323=0,0,L323/F323))</f>
        <v/>
      </c>
      <c r="N323" s="5" t="str">
        <f aca="false">IF(A323="","",CHOOSE(WEEKDAY(A323,2),"月","火","水","木","金","土","日"))</f>
        <v/>
      </c>
      <c r="O323" s="5" t="str">
        <f aca="false">IF(B323="","",IF(HOUR(B323)&lt;6,"深夜(0-5時)",IF(HOUR(B323)&lt;11,"朝(6-10時)",IF(HOUR(B323)&lt;15,"昼(11-14時)",IF(HOUR(B323)&lt;19,"夕方(15-18時)","夜(19-23時)")))))</f>
        <v/>
      </c>
      <c r="P323" s="32" t="str">
        <f aca="false">IF(M323="","",M323+ROW()/1000000000)</f>
        <v/>
      </c>
    </row>
    <row r="324" customFormat="false" ht="15" hidden="false" customHeight="false" outlineLevel="0" collapsed="false">
      <c r="A324" s="25"/>
      <c r="B324" s="26"/>
      <c r="C324" s="27"/>
      <c r="D324" s="28"/>
      <c r="E324" s="28"/>
      <c r="F324" s="29"/>
      <c r="G324" s="29"/>
      <c r="H324" s="29"/>
      <c r="I324" s="29"/>
      <c r="J324" s="29"/>
      <c r="K324" s="29"/>
      <c r="L324" s="30" t="str">
        <f aca="false">IF(A324="","",SUM(G324:K324))</f>
        <v/>
      </c>
      <c r="M324" s="31" t="str">
        <f aca="false">IF(A324="","",IF(F324=0,0,L324/F324))</f>
        <v/>
      </c>
      <c r="N324" s="5" t="str">
        <f aca="false">IF(A324="","",CHOOSE(WEEKDAY(A324,2),"月","火","水","木","金","土","日"))</f>
        <v/>
      </c>
      <c r="O324" s="5" t="str">
        <f aca="false">IF(B324="","",IF(HOUR(B324)&lt;6,"深夜(0-5時)",IF(HOUR(B324)&lt;11,"朝(6-10時)",IF(HOUR(B324)&lt;15,"昼(11-14時)",IF(HOUR(B324)&lt;19,"夕方(15-18時)","夜(19-23時)")))))</f>
        <v/>
      </c>
      <c r="P324" s="32" t="str">
        <f aca="false">IF(M324="","",M324+ROW()/1000000000)</f>
        <v/>
      </c>
    </row>
    <row r="325" customFormat="false" ht="15" hidden="false" customHeight="false" outlineLevel="0" collapsed="false">
      <c r="A325" s="25"/>
      <c r="B325" s="26"/>
      <c r="C325" s="27"/>
      <c r="D325" s="28"/>
      <c r="E325" s="28"/>
      <c r="F325" s="29"/>
      <c r="G325" s="29"/>
      <c r="H325" s="29"/>
      <c r="I325" s="29"/>
      <c r="J325" s="29"/>
      <c r="K325" s="29"/>
      <c r="L325" s="30" t="str">
        <f aca="false">IF(A325="","",SUM(G325:K325))</f>
        <v/>
      </c>
      <c r="M325" s="31" t="str">
        <f aca="false">IF(A325="","",IF(F325=0,0,L325/F325))</f>
        <v/>
      </c>
      <c r="N325" s="5" t="str">
        <f aca="false">IF(A325="","",CHOOSE(WEEKDAY(A325,2),"月","火","水","木","金","土","日"))</f>
        <v/>
      </c>
      <c r="O325" s="5" t="str">
        <f aca="false">IF(B325="","",IF(HOUR(B325)&lt;6,"深夜(0-5時)",IF(HOUR(B325)&lt;11,"朝(6-10時)",IF(HOUR(B325)&lt;15,"昼(11-14時)",IF(HOUR(B325)&lt;19,"夕方(15-18時)","夜(19-23時)")))))</f>
        <v/>
      </c>
      <c r="P325" s="32" t="str">
        <f aca="false">IF(M325="","",M325+ROW()/1000000000)</f>
        <v/>
      </c>
    </row>
    <row r="326" customFormat="false" ht="15" hidden="false" customHeight="false" outlineLevel="0" collapsed="false">
      <c r="A326" s="25"/>
      <c r="B326" s="26"/>
      <c r="C326" s="27"/>
      <c r="D326" s="28"/>
      <c r="E326" s="28"/>
      <c r="F326" s="29"/>
      <c r="G326" s="29"/>
      <c r="H326" s="29"/>
      <c r="I326" s="29"/>
      <c r="J326" s="29"/>
      <c r="K326" s="29"/>
      <c r="L326" s="30" t="str">
        <f aca="false">IF(A326="","",SUM(G326:K326))</f>
        <v/>
      </c>
      <c r="M326" s="31" t="str">
        <f aca="false">IF(A326="","",IF(F326=0,0,L326/F326))</f>
        <v/>
      </c>
      <c r="N326" s="5" t="str">
        <f aca="false">IF(A326="","",CHOOSE(WEEKDAY(A326,2),"月","火","水","木","金","土","日"))</f>
        <v/>
      </c>
      <c r="O326" s="5" t="str">
        <f aca="false">IF(B326="","",IF(HOUR(B326)&lt;6,"深夜(0-5時)",IF(HOUR(B326)&lt;11,"朝(6-10時)",IF(HOUR(B326)&lt;15,"昼(11-14時)",IF(HOUR(B326)&lt;19,"夕方(15-18時)","夜(19-23時)")))))</f>
        <v/>
      </c>
      <c r="P326" s="32" t="str">
        <f aca="false">IF(M326="","",M326+ROW()/1000000000)</f>
        <v/>
      </c>
    </row>
    <row r="327" customFormat="false" ht="15" hidden="false" customHeight="false" outlineLevel="0" collapsed="false">
      <c r="A327" s="25"/>
      <c r="B327" s="26"/>
      <c r="C327" s="27"/>
      <c r="D327" s="28"/>
      <c r="E327" s="28"/>
      <c r="F327" s="29"/>
      <c r="G327" s="29"/>
      <c r="H327" s="29"/>
      <c r="I327" s="29"/>
      <c r="J327" s="29"/>
      <c r="K327" s="29"/>
      <c r="L327" s="30" t="str">
        <f aca="false">IF(A327="","",SUM(G327:K327))</f>
        <v/>
      </c>
      <c r="M327" s="31" t="str">
        <f aca="false">IF(A327="","",IF(F327=0,0,L327/F327))</f>
        <v/>
      </c>
      <c r="N327" s="5" t="str">
        <f aca="false">IF(A327="","",CHOOSE(WEEKDAY(A327,2),"月","火","水","木","金","土","日"))</f>
        <v/>
      </c>
      <c r="O327" s="5" t="str">
        <f aca="false">IF(B327="","",IF(HOUR(B327)&lt;6,"深夜(0-5時)",IF(HOUR(B327)&lt;11,"朝(6-10時)",IF(HOUR(B327)&lt;15,"昼(11-14時)",IF(HOUR(B327)&lt;19,"夕方(15-18時)","夜(19-23時)")))))</f>
        <v/>
      </c>
      <c r="P327" s="32" t="str">
        <f aca="false">IF(M327="","",M327+ROW()/1000000000)</f>
        <v/>
      </c>
    </row>
    <row r="328" customFormat="false" ht="15" hidden="false" customHeight="false" outlineLevel="0" collapsed="false">
      <c r="A328" s="25"/>
      <c r="B328" s="26"/>
      <c r="C328" s="27"/>
      <c r="D328" s="28"/>
      <c r="E328" s="28"/>
      <c r="F328" s="29"/>
      <c r="G328" s="29"/>
      <c r="H328" s="29"/>
      <c r="I328" s="29"/>
      <c r="J328" s="29"/>
      <c r="K328" s="29"/>
      <c r="L328" s="30" t="str">
        <f aca="false">IF(A328="","",SUM(G328:K328))</f>
        <v/>
      </c>
      <c r="M328" s="31" t="str">
        <f aca="false">IF(A328="","",IF(F328=0,0,L328/F328))</f>
        <v/>
      </c>
      <c r="N328" s="5" t="str">
        <f aca="false">IF(A328="","",CHOOSE(WEEKDAY(A328,2),"月","火","水","木","金","土","日"))</f>
        <v/>
      </c>
      <c r="O328" s="5" t="str">
        <f aca="false">IF(B328="","",IF(HOUR(B328)&lt;6,"深夜(0-5時)",IF(HOUR(B328)&lt;11,"朝(6-10時)",IF(HOUR(B328)&lt;15,"昼(11-14時)",IF(HOUR(B328)&lt;19,"夕方(15-18時)","夜(19-23時)")))))</f>
        <v/>
      </c>
      <c r="P328" s="32" t="str">
        <f aca="false">IF(M328="","",M328+ROW()/1000000000)</f>
        <v/>
      </c>
    </row>
    <row r="329" customFormat="false" ht="15" hidden="false" customHeight="false" outlineLevel="0" collapsed="false">
      <c r="A329" s="25"/>
      <c r="B329" s="26"/>
      <c r="C329" s="27"/>
      <c r="D329" s="28"/>
      <c r="E329" s="28"/>
      <c r="F329" s="29"/>
      <c r="G329" s="29"/>
      <c r="H329" s="29"/>
      <c r="I329" s="29"/>
      <c r="J329" s="29"/>
      <c r="K329" s="29"/>
      <c r="L329" s="30" t="str">
        <f aca="false">IF(A329="","",SUM(G329:K329))</f>
        <v/>
      </c>
      <c r="M329" s="31" t="str">
        <f aca="false">IF(A329="","",IF(F329=0,0,L329/F329))</f>
        <v/>
      </c>
      <c r="N329" s="5" t="str">
        <f aca="false">IF(A329="","",CHOOSE(WEEKDAY(A329,2),"月","火","水","木","金","土","日"))</f>
        <v/>
      </c>
      <c r="O329" s="5" t="str">
        <f aca="false">IF(B329="","",IF(HOUR(B329)&lt;6,"深夜(0-5時)",IF(HOUR(B329)&lt;11,"朝(6-10時)",IF(HOUR(B329)&lt;15,"昼(11-14時)",IF(HOUR(B329)&lt;19,"夕方(15-18時)","夜(19-23時)")))))</f>
        <v/>
      </c>
      <c r="P329" s="32" t="str">
        <f aca="false">IF(M329="","",M329+ROW()/1000000000)</f>
        <v/>
      </c>
    </row>
    <row r="330" customFormat="false" ht="15" hidden="false" customHeight="false" outlineLevel="0" collapsed="false">
      <c r="A330" s="25"/>
      <c r="B330" s="26"/>
      <c r="C330" s="27"/>
      <c r="D330" s="28"/>
      <c r="E330" s="28"/>
      <c r="F330" s="29"/>
      <c r="G330" s="29"/>
      <c r="H330" s="29"/>
      <c r="I330" s="29"/>
      <c r="J330" s="29"/>
      <c r="K330" s="29"/>
      <c r="L330" s="30" t="str">
        <f aca="false">IF(A330="","",SUM(G330:K330))</f>
        <v/>
      </c>
      <c r="M330" s="31" t="str">
        <f aca="false">IF(A330="","",IF(F330=0,0,L330/F330))</f>
        <v/>
      </c>
      <c r="N330" s="5" t="str">
        <f aca="false">IF(A330="","",CHOOSE(WEEKDAY(A330,2),"月","火","水","木","金","土","日"))</f>
        <v/>
      </c>
      <c r="O330" s="5" t="str">
        <f aca="false">IF(B330="","",IF(HOUR(B330)&lt;6,"深夜(0-5時)",IF(HOUR(B330)&lt;11,"朝(6-10時)",IF(HOUR(B330)&lt;15,"昼(11-14時)",IF(HOUR(B330)&lt;19,"夕方(15-18時)","夜(19-23時)")))))</f>
        <v/>
      </c>
      <c r="P330" s="32" t="str">
        <f aca="false">IF(M330="","",M330+ROW()/1000000000)</f>
        <v/>
      </c>
    </row>
    <row r="331" customFormat="false" ht="15" hidden="false" customHeight="false" outlineLevel="0" collapsed="false">
      <c r="A331" s="25"/>
      <c r="B331" s="26"/>
      <c r="C331" s="27"/>
      <c r="D331" s="28"/>
      <c r="E331" s="28"/>
      <c r="F331" s="29"/>
      <c r="G331" s="29"/>
      <c r="H331" s="29"/>
      <c r="I331" s="29"/>
      <c r="J331" s="29"/>
      <c r="K331" s="29"/>
      <c r="L331" s="30" t="str">
        <f aca="false">IF(A331="","",SUM(G331:K331))</f>
        <v/>
      </c>
      <c r="M331" s="31" t="str">
        <f aca="false">IF(A331="","",IF(F331=0,0,L331/F331))</f>
        <v/>
      </c>
      <c r="N331" s="5" t="str">
        <f aca="false">IF(A331="","",CHOOSE(WEEKDAY(A331,2),"月","火","水","木","金","土","日"))</f>
        <v/>
      </c>
      <c r="O331" s="5" t="str">
        <f aca="false">IF(B331="","",IF(HOUR(B331)&lt;6,"深夜(0-5時)",IF(HOUR(B331)&lt;11,"朝(6-10時)",IF(HOUR(B331)&lt;15,"昼(11-14時)",IF(HOUR(B331)&lt;19,"夕方(15-18時)","夜(19-23時)")))))</f>
        <v/>
      </c>
      <c r="P331" s="32" t="str">
        <f aca="false">IF(M331="","",M331+ROW()/1000000000)</f>
        <v/>
      </c>
    </row>
    <row r="332" customFormat="false" ht="15" hidden="false" customHeight="false" outlineLevel="0" collapsed="false">
      <c r="A332" s="25"/>
      <c r="B332" s="26"/>
      <c r="C332" s="27"/>
      <c r="D332" s="28"/>
      <c r="E332" s="28"/>
      <c r="F332" s="29"/>
      <c r="G332" s="29"/>
      <c r="H332" s="29"/>
      <c r="I332" s="29"/>
      <c r="J332" s="29"/>
      <c r="K332" s="29"/>
      <c r="L332" s="30" t="str">
        <f aca="false">IF(A332="","",SUM(G332:K332))</f>
        <v/>
      </c>
      <c r="M332" s="31" t="str">
        <f aca="false">IF(A332="","",IF(F332=0,0,L332/F332))</f>
        <v/>
      </c>
      <c r="N332" s="5" t="str">
        <f aca="false">IF(A332="","",CHOOSE(WEEKDAY(A332,2),"月","火","水","木","金","土","日"))</f>
        <v/>
      </c>
      <c r="O332" s="5" t="str">
        <f aca="false">IF(B332="","",IF(HOUR(B332)&lt;6,"深夜(0-5時)",IF(HOUR(B332)&lt;11,"朝(6-10時)",IF(HOUR(B332)&lt;15,"昼(11-14時)",IF(HOUR(B332)&lt;19,"夕方(15-18時)","夜(19-23時)")))))</f>
        <v/>
      </c>
      <c r="P332" s="32" t="str">
        <f aca="false">IF(M332="","",M332+ROW()/1000000000)</f>
        <v/>
      </c>
    </row>
    <row r="333" customFormat="false" ht="15" hidden="false" customHeight="false" outlineLevel="0" collapsed="false">
      <c r="A333" s="25"/>
      <c r="B333" s="26"/>
      <c r="C333" s="27"/>
      <c r="D333" s="28"/>
      <c r="E333" s="28"/>
      <c r="F333" s="29"/>
      <c r="G333" s="29"/>
      <c r="H333" s="29"/>
      <c r="I333" s="29"/>
      <c r="J333" s="29"/>
      <c r="K333" s="29"/>
      <c r="L333" s="30" t="str">
        <f aca="false">IF(A333="","",SUM(G333:K333))</f>
        <v/>
      </c>
      <c r="M333" s="31" t="str">
        <f aca="false">IF(A333="","",IF(F333=0,0,L333/F333))</f>
        <v/>
      </c>
      <c r="N333" s="5" t="str">
        <f aca="false">IF(A333="","",CHOOSE(WEEKDAY(A333,2),"月","火","水","木","金","土","日"))</f>
        <v/>
      </c>
      <c r="O333" s="5" t="str">
        <f aca="false">IF(B333="","",IF(HOUR(B333)&lt;6,"深夜(0-5時)",IF(HOUR(B333)&lt;11,"朝(6-10時)",IF(HOUR(B333)&lt;15,"昼(11-14時)",IF(HOUR(B333)&lt;19,"夕方(15-18時)","夜(19-23時)")))))</f>
        <v/>
      </c>
      <c r="P333" s="32" t="str">
        <f aca="false">IF(M333="","",M333+ROW()/1000000000)</f>
        <v/>
      </c>
    </row>
    <row r="334" customFormat="false" ht="15" hidden="false" customHeight="false" outlineLevel="0" collapsed="false">
      <c r="A334" s="25"/>
      <c r="B334" s="26"/>
      <c r="C334" s="27"/>
      <c r="D334" s="28"/>
      <c r="E334" s="28"/>
      <c r="F334" s="29"/>
      <c r="G334" s="29"/>
      <c r="H334" s="29"/>
      <c r="I334" s="29"/>
      <c r="J334" s="29"/>
      <c r="K334" s="29"/>
      <c r="L334" s="30" t="str">
        <f aca="false">IF(A334="","",SUM(G334:K334))</f>
        <v/>
      </c>
      <c r="M334" s="31" t="str">
        <f aca="false">IF(A334="","",IF(F334=0,0,L334/F334))</f>
        <v/>
      </c>
      <c r="N334" s="5" t="str">
        <f aca="false">IF(A334="","",CHOOSE(WEEKDAY(A334,2),"月","火","水","木","金","土","日"))</f>
        <v/>
      </c>
      <c r="O334" s="5" t="str">
        <f aca="false">IF(B334="","",IF(HOUR(B334)&lt;6,"深夜(0-5時)",IF(HOUR(B334)&lt;11,"朝(6-10時)",IF(HOUR(B334)&lt;15,"昼(11-14時)",IF(HOUR(B334)&lt;19,"夕方(15-18時)","夜(19-23時)")))))</f>
        <v/>
      </c>
      <c r="P334" s="32" t="str">
        <f aca="false">IF(M334="","",M334+ROW()/1000000000)</f>
        <v/>
      </c>
    </row>
    <row r="335" customFormat="false" ht="15" hidden="false" customHeight="false" outlineLevel="0" collapsed="false">
      <c r="A335" s="25"/>
      <c r="B335" s="26"/>
      <c r="C335" s="27"/>
      <c r="D335" s="28"/>
      <c r="E335" s="28"/>
      <c r="F335" s="29"/>
      <c r="G335" s="29"/>
      <c r="H335" s="29"/>
      <c r="I335" s="29"/>
      <c r="J335" s="29"/>
      <c r="K335" s="29"/>
      <c r="L335" s="30" t="str">
        <f aca="false">IF(A335="","",SUM(G335:K335))</f>
        <v/>
      </c>
      <c r="M335" s="31" t="str">
        <f aca="false">IF(A335="","",IF(F335=0,0,L335/F335))</f>
        <v/>
      </c>
      <c r="N335" s="5" t="str">
        <f aca="false">IF(A335="","",CHOOSE(WEEKDAY(A335,2),"月","火","水","木","金","土","日"))</f>
        <v/>
      </c>
      <c r="O335" s="5" t="str">
        <f aca="false">IF(B335="","",IF(HOUR(B335)&lt;6,"深夜(0-5時)",IF(HOUR(B335)&lt;11,"朝(6-10時)",IF(HOUR(B335)&lt;15,"昼(11-14時)",IF(HOUR(B335)&lt;19,"夕方(15-18時)","夜(19-23時)")))))</f>
        <v/>
      </c>
      <c r="P335" s="32" t="str">
        <f aca="false">IF(M335="","",M335+ROW()/1000000000)</f>
        <v/>
      </c>
    </row>
    <row r="336" customFormat="false" ht="15" hidden="false" customHeight="false" outlineLevel="0" collapsed="false">
      <c r="A336" s="25"/>
      <c r="B336" s="26"/>
      <c r="C336" s="27"/>
      <c r="D336" s="28"/>
      <c r="E336" s="28"/>
      <c r="F336" s="29"/>
      <c r="G336" s="29"/>
      <c r="H336" s="29"/>
      <c r="I336" s="29"/>
      <c r="J336" s="29"/>
      <c r="K336" s="29"/>
      <c r="L336" s="30" t="str">
        <f aca="false">IF(A336="","",SUM(G336:K336))</f>
        <v/>
      </c>
      <c r="M336" s="31" t="str">
        <f aca="false">IF(A336="","",IF(F336=0,0,L336/F336))</f>
        <v/>
      </c>
      <c r="N336" s="5" t="str">
        <f aca="false">IF(A336="","",CHOOSE(WEEKDAY(A336,2),"月","火","水","木","金","土","日"))</f>
        <v/>
      </c>
      <c r="O336" s="5" t="str">
        <f aca="false">IF(B336="","",IF(HOUR(B336)&lt;6,"深夜(0-5時)",IF(HOUR(B336)&lt;11,"朝(6-10時)",IF(HOUR(B336)&lt;15,"昼(11-14時)",IF(HOUR(B336)&lt;19,"夕方(15-18時)","夜(19-23時)")))))</f>
        <v/>
      </c>
      <c r="P336" s="32" t="str">
        <f aca="false">IF(M336="","",M336+ROW()/1000000000)</f>
        <v/>
      </c>
    </row>
    <row r="337" customFormat="false" ht="15" hidden="false" customHeight="false" outlineLevel="0" collapsed="false">
      <c r="A337" s="25"/>
      <c r="B337" s="26"/>
      <c r="C337" s="27"/>
      <c r="D337" s="28"/>
      <c r="E337" s="28"/>
      <c r="F337" s="29"/>
      <c r="G337" s="29"/>
      <c r="H337" s="29"/>
      <c r="I337" s="29"/>
      <c r="J337" s="29"/>
      <c r="K337" s="29"/>
      <c r="L337" s="30" t="str">
        <f aca="false">IF(A337="","",SUM(G337:K337))</f>
        <v/>
      </c>
      <c r="M337" s="31" t="str">
        <f aca="false">IF(A337="","",IF(F337=0,0,L337/F337))</f>
        <v/>
      </c>
      <c r="N337" s="5" t="str">
        <f aca="false">IF(A337="","",CHOOSE(WEEKDAY(A337,2),"月","火","水","木","金","土","日"))</f>
        <v/>
      </c>
      <c r="O337" s="5" t="str">
        <f aca="false">IF(B337="","",IF(HOUR(B337)&lt;6,"深夜(0-5時)",IF(HOUR(B337)&lt;11,"朝(6-10時)",IF(HOUR(B337)&lt;15,"昼(11-14時)",IF(HOUR(B337)&lt;19,"夕方(15-18時)","夜(19-23時)")))))</f>
        <v/>
      </c>
      <c r="P337" s="32" t="str">
        <f aca="false">IF(M337="","",M337+ROW()/1000000000)</f>
        <v/>
      </c>
    </row>
    <row r="338" customFormat="false" ht="15" hidden="false" customHeight="false" outlineLevel="0" collapsed="false">
      <c r="A338" s="25"/>
      <c r="B338" s="26"/>
      <c r="C338" s="27"/>
      <c r="D338" s="28"/>
      <c r="E338" s="28"/>
      <c r="F338" s="29"/>
      <c r="G338" s="29"/>
      <c r="H338" s="29"/>
      <c r="I338" s="29"/>
      <c r="J338" s="29"/>
      <c r="K338" s="29"/>
      <c r="L338" s="30" t="str">
        <f aca="false">IF(A338="","",SUM(G338:K338))</f>
        <v/>
      </c>
      <c r="M338" s="31" t="str">
        <f aca="false">IF(A338="","",IF(F338=0,0,L338/F338))</f>
        <v/>
      </c>
      <c r="N338" s="5" t="str">
        <f aca="false">IF(A338="","",CHOOSE(WEEKDAY(A338,2),"月","火","水","木","金","土","日"))</f>
        <v/>
      </c>
      <c r="O338" s="5" t="str">
        <f aca="false">IF(B338="","",IF(HOUR(B338)&lt;6,"深夜(0-5時)",IF(HOUR(B338)&lt;11,"朝(6-10時)",IF(HOUR(B338)&lt;15,"昼(11-14時)",IF(HOUR(B338)&lt;19,"夕方(15-18時)","夜(19-23時)")))))</f>
        <v/>
      </c>
      <c r="P338" s="32" t="str">
        <f aca="false">IF(M338="","",M338+ROW()/1000000000)</f>
        <v/>
      </c>
    </row>
    <row r="339" customFormat="false" ht="15" hidden="false" customHeight="false" outlineLevel="0" collapsed="false">
      <c r="A339" s="25"/>
      <c r="B339" s="26"/>
      <c r="C339" s="27"/>
      <c r="D339" s="28"/>
      <c r="E339" s="28"/>
      <c r="F339" s="29"/>
      <c r="G339" s="29"/>
      <c r="H339" s="29"/>
      <c r="I339" s="29"/>
      <c r="J339" s="29"/>
      <c r="K339" s="29"/>
      <c r="L339" s="30" t="str">
        <f aca="false">IF(A339="","",SUM(G339:K339))</f>
        <v/>
      </c>
      <c r="M339" s="31" t="str">
        <f aca="false">IF(A339="","",IF(F339=0,0,L339/F339))</f>
        <v/>
      </c>
      <c r="N339" s="5" t="str">
        <f aca="false">IF(A339="","",CHOOSE(WEEKDAY(A339,2),"月","火","水","木","金","土","日"))</f>
        <v/>
      </c>
      <c r="O339" s="5" t="str">
        <f aca="false">IF(B339="","",IF(HOUR(B339)&lt;6,"深夜(0-5時)",IF(HOUR(B339)&lt;11,"朝(6-10時)",IF(HOUR(B339)&lt;15,"昼(11-14時)",IF(HOUR(B339)&lt;19,"夕方(15-18時)","夜(19-23時)")))))</f>
        <v/>
      </c>
      <c r="P339" s="32" t="str">
        <f aca="false">IF(M339="","",M339+ROW()/1000000000)</f>
        <v/>
      </c>
    </row>
    <row r="340" customFormat="false" ht="15" hidden="false" customHeight="false" outlineLevel="0" collapsed="false">
      <c r="A340" s="25"/>
      <c r="B340" s="26"/>
      <c r="C340" s="27"/>
      <c r="D340" s="28"/>
      <c r="E340" s="28"/>
      <c r="F340" s="29"/>
      <c r="G340" s="29"/>
      <c r="H340" s="29"/>
      <c r="I340" s="29"/>
      <c r="J340" s="29"/>
      <c r="K340" s="29"/>
      <c r="L340" s="30" t="str">
        <f aca="false">IF(A340="","",SUM(G340:K340))</f>
        <v/>
      </c>
      <c r="M340" s="31" t="str">
        <f aca="false">IF(A340="","",IF(F340=0,0,L340/F340))</f>
        <v/>
      </c>
      <c r="N340" s="5" t="str">
        <f aca="false">IF(A340="","",CHOOSE(WEEKDAY(A340,2),"月","火","水","木","金","土","日"))</f>
        <v/>
      </c>
      <c r="O340" s="5" t="str">
        <f aca="false">IF(B340="","",IF(HOUR(B340)&lt;6,"深夜(0-5時)",IF(HOUR(B340)&lt;11,"朝(6-10時)",IF(HOUR(B340)&lt;15,"昼(11-14時)",IF(HOUR(B340)&lt;19,"夕方(15-18時)","夜(19-23時)")))))</f>
        <v/>
      </c>
      <c r="P340" s="32" t="str">
        <f aca="false">IF(M340="","",M340+ROW()/1000000000)</f>
        <v/>
      </c>
    </row>
    <row r="341" customFormat="false" ht="15" hidden="false" customHeight="false" outlineLevel="0" collapsed="false">
      <c r="A341" s="25"/>
      <c r="B341" s="26"/>
      <c r="C341" s="27"/>
      <c r="D341" s="28"/>
      <c r="E341" s="28"/>
      <c r="F341" s="29"/>
      <c r="G341" s="29"/>
      <c r="H341" s="29"/>
      <c r="I341" s="29"/>
      <c r="J341" s="29"/>
      <c r="K341" s="29"/>
      <c r="L341" s="30" t="str">
        <f aca="false">IF(A341="","",SUM(G341:K341))</f>
        <v/>
      </c>
      <c r="M341" s="31" t="str">
        <f aca="false">IF(A341="","",IF(F341=0,0,L341/F341))</f>
        <v/>
      </c>
      <c r="N341" s="5" t="str">
        <f aca="false">IF(A341="","",CHOOSE(WEEKDAY(A341,2),"月","火","水","木","金","土","日"))</f>
        <v/>
      </c>
      <c r="O341" s="5" t="str">
        <f aca="false">IF(B341="","",IF(HOUR(B341)&lt;6,"深夜(0-5時)",IF(HOUR(B341)&lt;11,"朝(6-10時)",IF(HOUR(B341)&lt;15,"昼(11-14時)",IF(HOUR(B341)&lt;19,"夕方(15-18時)","夜(19-23時)")))))</f>
        <v/>
      </c>
      <c r="P341" s="32" t="str">
        <f aca="false">IF(M341="","",M341+ROW()/1000000000)</f>
        <v/>
      </c>
    </row>
    <row r="342" customFormat="false" ht="15" hidden="false" customHeight="false" outlineLevel="0" collapsed="false">
      <c r="A342" s="25"/>
      <c r="B342" s="26"/>
      <c r="C342" s="27"/>
      <c r="D342" s="28"/>
      <c r="E342" s="28"/>
      <c r="F342" s="29"/>
      <c r="G342" s="29"/>
      <c r="H342" s="29"/>
      <c r="I342" s="29"/>
      <c r="J342" s="29"/>
      <c r="K342" s="29"/>
      <c r="L342" s="30" t="str">
        <f aca="false">IF(A342="","",SUM(G342:K342))</f>
        <v/>
      </c>
      <c r="M342" s="31" t="str">
        <f aca="false">IF(A342="","",IF(F342=0,0,L342/F342))</f>
        <v/>
      </c>
      <c r="N342" s="5" t="str">
        <f aca="false">IF(A342="","",CHOOSE(WEEKDAY(A342,2),"月","火","水","木","金","土","日"))</f>
        <v/>
      </c>
      <c r="O342" s="5" t="str">
        <f aca="false">IF(B342="","",IF(HOUR(B342)&lt;6,"深夜(0-5時)",IF(HOUR(B342)&lt;11,"朝(6-10時)",IF(HOUR(B342)&lt;15,"昼(11-14時)",IF(HOUR(B342)&lt;19,"夕方(15-18時)","夜(19-23時)")))))</f>
        <v/>
      </c>
      <c r="P342" s="32" t="str">
        <f aca="false">IF(M342="","",M342+ROW()/1000000000)</f>
        <v/>
      </c>
    </row>
    <row r="343" customFormat="false" ht="15" hidden="false" customHeight="false" outlineLevel="0" collapsed="false">
      <c r="A343" s="25"/>
      <c r="B343" s="26"/>
      <c r="C343" s="27"/>
      <c r="D343" s="28"/>
      <c r="E343" s="28"/>
      <c r="F343" s="29"/>
      <c r="G343" s="29"/>
      <c r="H343" s="29"/>
      <c r="I343" s="29"/>
      <c r="J343" s="29"/>
      <c r="K343" s="29"/>
      <c r="L343" s="30" t="str">
        <f aca="false">IF(A343="","",SUM(G343:K343))</f>
        <v/>
      </c>
      <c r="M343" s="31" t="str">
        <f aca="false">IF(A343="","",IF(F343=0,0,L343/F343))</f>
        <v/>
      </c>
      <c r="N343" s="5" t="str">
        <f aca="false">IF(A343="","",CHOOSE(WEEKDAY(A343,2),"月","火","水","木","金","土","日"))</f>
        <v/>
      </c>
      <c r="O343" s="5" t="str">
        <f aca="false">IF(B343="","",IF(HOUR(B343)&lt;6,"深夜(0-5時)",IF(HOUR(B343)&lt;11,"朝(6-10時)",IF(HOUR(B343)&lt;15,"昼(11-14時)",IF(HOUR(B343)&lt;19,"夕方(15-18時)","夜(19-23時)")))))</f>
        <v/>
      </c>
      <c r="P343" s="32" t="str">
        <f aca="false">IF(M343="","",M343+ROW()/1000000000)</f>
        <v/>
      </c>
    </row>
    <row r="344" customFormat="false" ht="15" hidden="false" customHeight="false" outlineLevel="0" collapsed="false">
      <c r="A344" s="25"/>
      <c r="B344" s="26"/>
      <c r="C344" s="27"/>
      <c r="D344" s="28"/>
      <c r="E344" s="28"/>
      <c r="F344" s="29"/>
      <c r="G344" s="29"/>
      <c r="H344" s="29"/>
      <c r="I344" s="29"/>
      <c r="J344" s="29"/>
      <c r="K344" s="29"/>
      <c r="L344" s="30" t="str">
        <f aca="false">IF(A344="","",SUM(G344:K344))</f>
        <v/>
      </c>
      <c r="M344" s="31" t="str">
        <f aca="false">IF(A344="","",IF(F344=0,0,L344/F344))</f>
        <v/>
      </c>
      <c r="N344" s="5" t="str">
        <f aca="false">IF(A344="","",CHOOSE(WEEKDAY(A344,2),"月","火","水","木","金","土","日"))</f>
        <v/>
      </c>
      <c r="O344" s="5" t="str">
        <f aca="false">IF(B344="","",IF(HOUR(B344)&lt;6,"深夜(0-5時)",IF(HOUR(B344)&lt;11,"朝(6-10時)",IF(HOUR(B344)&lt;15,"昼(11-14時)",IF(HOUR(B344)&lt;19,"夕方(15-18時)","夜(19-23時)")))))</f>
        <v/>
      </c>
      <c r="P344" s="32" t="str">
        <f aca="false">IF(M344="","",M344+ROW()/1000000000)</f>
        <v/>
      </c>
    </row>
    <row r="345" customFormat="false" ht="15" hidden="false" customHeight="false" outlineLevel="0" collapsed="false">
      <c r="A345" s="25"/>
      <c r="B345" s="26"/>
      <c r="C345" s="27"/>
      <c r="D345" s="28"/>
      <c r="E345" s="28"/>
      <c r="F345" s="29"/>
      <c r="G345" s="29"/>
      <c r="H345" s="29"/>
      <c r="I345" s="29"/>
      <c r="J345" s="29"/>
      <c r="K345" s="29"/>
      <c r="L345" s="30" t="str">
        <f aca="false">IF(A345="","",SUM(G345:K345))</f>
        <v/>
      </c>
      <c r="M345" s="31" t="str">
        <f aca="false">IF(A345="","",IF(F345=0,0,L345/F345))</f>
        <v/>
      </c>
      <c r="N345" s="5" t="str">
        <f aca="false">IF(A345="","",CHOOSE(WEEKDAY(A345,2),"月","火","水","木","金","土","日"))</f>
        <v/>
      </c>
      <c r="O345" s="5" t="str">
        <f aca="false">IF(B345="","",IF(HOUR(B345)&lt;6,"深夜(0-5時)",IF(HOUR(B345)&lt;11,"朝(6-10時)",IF(HOUR(B345)&lt;15,"昼(11-14時)",IF(HOUR(B345)&lt;19,"夕方(15-18時)","夜(19-23時)")))))</f>
        <v/>
      </c>
      <c r="P345" s="32" t="str">
        <f aca="false">IF(M345="","",M345+ROW()/1000000000)</f>
        <v/>
      </c>
    </row>
    <row r="346" customFormat="false" ht="15" hidden="false" customHeight="false" outlineLevel="0" collapsed="false">
      <c r="A346" s="25"/>
      <c r="B346" s="26"/>
      <c r="C346" s="27"/>
      <c r="D346" s="28"/>
      <c r="E346" s="28"/>
      <c r="F346" s="29"/>
      <c r="G346" s="29"/>
      <c r="H346" s="29"/>
      <c r="I346" s="29"/>
      <c r="J346" s="29"/>
      <c r="K346" s="29"/>
      <c r="L346" s="30" t="str">
        <f aca="false">IF(A346="","",SUM(G346:K346))</f>
        <v/>
      </c>
      <c r="M346" s="31" t="str">
        <f aca="false">IF(A346="","",IF(F346=0,0,L346/F346))</f>
        <v/>
      </c>
      <c r="N346" s="5" t="str">
        <f aca="false">IF(A346="","",CHOOSE(WEEKDAY(A346,2),"月","火","水","木","金","土","日"))</f>
        <v/>
      </c>
      <c r="O346" s="5" t="str">
        <f aca="false">IF(B346="","",IF(HOUR(B346)&lt;6,"深夜(0-5時)",IF(HOUR(B346)&lt;11,"朝(6-10時)",IF(HOUR(B346)&lt;15,"昼(11-14時)",IF(HOUR(B346)&lt;19,"夕方(15-18時)","夜(19-23時)")))))</f>
        <v/>
      </c>
      <c r="P346" s="32" t="str">
        <f aca="false">IF(M346="","",M346+ROW()/1000000000)</f>
        <v/>
      </c>
    </row>
    <row r="347" customFormat="false" ht="15" hidden="false" customHeight="false" outlineLevel="0" collapsed="false">
      <c r="A347" s="25"/>
      <c r="B347" s="26"/>
      <c r="C347" s="27"/>
      <c r="D347" s="28"/>
      <c r="E347" s="28"/>
      <c r="F347" s="29"/>
      <c r="G347" s="29"/>
      <c r="H347" s="29"/>
      <c r="I347" s="29"/>
      <c r="J347" s="29"/>
      <c r="K347" s="29"/>
      <c r="L347" s="30" t="str">
        <f aca="false">IF(A347="","",SUM(G347:K347))</f>
        <v/>
      </c>
      <c r="M347" s="31" t="str">
        <f aca="false">IF(A347="","",IF(F347=0,0,L347/F347))</f>
        <v/>
      </c>
      <c r="N347" s="5" t="str">
        <f aca="false">IF(A347="","",CHOOSE(WEEKDAY(A347,2),"月","火","水","木","金","土","日"))</f>
        <v/>
      </c>
      <c r="O347" s="5" t="str">
        <f aca="false">IF(B347="","",IF(HOUR(B347)&lt;6,"深夜(0-5時)",IF(HOUR(B347)&lt;11,"朝(6-10時)",IF(HOUR(B347)&lt;15,"昼(11-14時)",IF(HOUR(B347)&lt;19,"夕方(15-18時)","夜(19-23時)")))))</f>
        <v/>
      </c>
      <c r="P347" s="32" t="str">
        <f aca="false">IF(M347="","",M347+ROW()/1000000000)</f>
        <v/>
      </c>
    </row>
    <row r="348" customFormat="false" ht="15" hidden="false" customHeight="false" outlineLevel="0" collapsed="false">
      <c r="A348" s="25"/>
      <c r="B348" s="26"/>
      <c r="C348" s="27"/>
      <c r="D348" s="28"/>
      <c r="E348" s="28"/>
      <c r="F348" s="29"/>
      <c r="G348" s="29"/>
      <c r="H348" s="29"/>
      <c r="I348" s="29"/>
      <c r="J348" s="29"/>
      <c r="K348" s="29"/>
      <c r="L348" s="30" t="str">
        <f aca="false">IF(A348="","",SUM(G348:K348))</f>
        <v/>
      </c>
      <c r="M348" s="31" t="str">
        <f aca="false">IF(A348="","",IF(F348=0,0,L348/F348))</f>
        <v/>
      </c>
      <c r="N348" s="5" t="str">
        <f aca="false">IF(A348="","",CHOOSE(WEEKDAY(A348,2),"月","火","水","木","金","土","日"))</f>
        <v/>
      </c>
      <c r="O348" s="5" t="str">
        <f aca="false">IF(B348="","",IF(HOUR(B348)&lt;6,"深夜(0-5時)",IF(HOUR(B348)&lt;11,"朝(6-10時)",IF(HOUR(B348)&lt;15,"昼(11-14時)",IF(HOUR(B348)&lt;19,"夕方(15-18時)","夜(19-23時)")))))</f>
        <v/>
      </c>
      <c r="P348" s="32" t="str">
        <f aca="false">IF(M348="","",M348+ROW()/1000000000)</f>
        <v/>
      </c>
    </row>
    <row r="349" customFormat="false" ht="15" hidden="false" customHeight="false" outlineLevel="0" collapsed="false">
      <c r="A349" s="25"/>
      <c r="B349" s="26"/>
      <c r="C349" s="27"/>
      <c r="D349" s="28"/>
      <c r="E349" s="28"/>
      <c r="F349" s="29"/>
      <c r="G349" s="29"/>
      <c r="H349" s="29"/>
      <c r="I349" s="29"/>
      <c r="J349" s="29"/>
      <c r="K349" s="29"/>
      <c r="L349" s="30" t="str">
        <f aca="false">IF(A349="","",SUM(G349:K349))</f>
        <v/>
      </c>
      <c r="M349" s="31" t="str">
        <f aca="false">IF(A349="","",IF(F349=0,0,L349/F349))</f>
        <v/>
      </c>
      <c r="N349" s="5" t="str">
        <f aca="false">IF(A349="","",CHOOSE(WEEKDAY(A349,2),"月","火","水","木","金","土","日"))</f>
        <v/>
      </c>
      <c r="O349" s="5" t="str">
        <f aca="false">IF(B349="","",IF(HOUR(B349)&lt;6,"深夜(0-5時)",IF(HOUR(B349)&lt;11,"朝(6-10時)",IF(HOUR(B349)&lt;15,"昼(11-14時)",IF(HOUR(B349)&lt;19,"夕方(15-18時)","夜(19-23時)")))))</f>
        <v/>
      </c>
      <c r="P349" s="32" t="str">
        <f aca="false">IF(M349="","",M349+ROW()/1000000000)</f>
        <v/>
      </c>
    </row>
    <row r="350" customFormat="false" ht="15" hidden="false" customHeight="false" outlineLevel="0" collapsed="false">
      <c r="A350" s="25"/>
      <c r="B350" s="26"/>
      <c r="C350" s="27"/>
      <c r="D350" s="28"/>
      <c r="E350" s="28"/>
      <c r="F350" s="29"/>
      <c r="G350" s="29"/>
      <c r="H350" s="29"/>
      <c r="I350" s="29"/>
      <c r="J350" s="29"/>
      <c r="K350" s="29"/>
      <c r="L350" s="30" t="str">
        <f aca="false">IF(A350="","",SUM(G350:K350))</f>
        <v/>
      </c>
      <c r="M350" s="31" t="str">
        <f aca="false">IF(A350="","",IF(F350=0,0,L350/F350))</f>
        <v/>
      </c>
      <c r="N350" s="5" t="str">
        <f aca="false">IF(A350="","",CHOOSE(WEEKDAY(A350,2),"月","火","水","木","金","土","日"))</f>
        <v/>
      </c>
      <c r="O350" s="5" t="str">
        <f aca="false">IF(B350="","",IF(HOUR(B350)&lt;6,"深夜(0-5時)",IF(HOUR(B350)&lt;11,"朝(6-10時)",IF(HOUR(B350)&lt;15,"昼(11-14時)",IF(HOUR(B350)&lt;19,"夕方(15-18時)","夜(19-23時)")))))</f>
        <v/>
      </c>
      <c r="P350" s="32" t="str">
        <f aca="false">IF(M350="","",M350+ROW()/1000000000)</f>
        <v/>
      </c>
    </row>
    <row r="351" customFormat="false" ht="15" hidden="false" customHeight="false" outlineLevel="0" collapsed="false">
      <c r="A351" s="25"/>
      <c r="B351" s="26"/>
      <c r="C351" s="27"/>
      <c r="D351" s="28"/>
      <c r="E351" s="28"/>
      <c r="F351" s="29"/>
      <c r="G351" s="29"/>
      <c r="H351" s="29"/>
      <c r="I351" s="29"/>
      <c r="J351" s="29"/>
      <c r="K351" s="29"/>
      <c r="L351" s="30" t="str">
        <f aca="false">IF(A351="","",SUM(G351:K351))</f>
        <v/>
      </c>
      <c r="M351" s="31" t="str">
        <f aca="false">IF(A351="","",IF(F351=0,0,L351/F351))</f>
        <v/>
      </c>
      <c r="N351" s="5" t="str">
        <f aca="false">IF(A351="","",CHOOSE(WEEKDAY(A351,2),"月","火","水","木","金","土","日"))</f>
        <v/>
      </c>
      <c r="O351" s="5" t="str">
        <f aca="false">IF(B351="","",IF(HOUR(B351)&lt;6,"深夜(0-5時)",IF(HOUR(B351)&lt;11,"朝(6-10時)",IF(HOUR(B351)&lt;15,"昼(11-14時)",IF(HOUR(B351)&lt;19,"夕方(15-18時)","夜(19-23時)")))))</f>
        <v/>
      </c>
      <c r="P351" s="32" t="str">
        <f aca="false">IF(M351="","",M351+ROW()/1000000000)</f>
        <v/>
      </c>
    </row>
    <row r="352" customFormat="false" ht="15" hidden="false" customHeight="false" outlineLevel="0" collapsed="false">
      <c r="A352" s="25"/>
      <c r="B352" s="26"/>
      <c r="C352" s="27"/>
      <c r="D352" s="28"/>
      <c r="E352" s="28"/>
      <c r="F352" s="29"/>
      <c r="G352" s="29"/>
      <c r="H352" s="29"/>
      <c r="I352" s="29"/>
      <c r="J352" s="29"/>
      <c r="K352" s="29"/>
      <c r="L352" s="30" t="str">
        <f aca="false">IF(A352="","",SUM(G352:K352))</f>
        <v/>
      </c>
      <c r="M352" s="31" t="str">
        <f aca="false">IF(A352="","",IF(F352=0,0,L352/F352))</f>
        <v/>
      </c>
      <c r="N352" s="5" t="str">
        <f aca="false">IF(A352="","",CHOOSE(WEEKDAY(A352,2),"月","火","水","木","金","土","日"))</f>
        <v/>
      </c>
      <c r="O352" s="5" t="str">
        <f aca="false">IF(B352="","",IF(HOUR(B352)&lt;6,"深夜(0-5時)",IF(HOUR(B352)&lt;11,"朝(6-10時)",IF(HOUR(B352)&lt;15,"昼(11-14時)",IF(HOUR(B352)&lt;19,"夕方(15-18時)","夜(19-23時)")))))</f>
        <v/>
      </c>
      <c r="P352" s="32" t="str">
        <f aca="false">IF(M352="","",M352+ROW()/1000000000)</f>
        <v/>
      </c>
    </row>
    <row r="353" customFormat="false" ht="15" hidden="false" customHeight="false" outlineLevel="0" collapsed="false">
      <c r="A353" s="25"/>
      <c r="B353" s="26"/>
      <c r="C353" s="27"/>
      <c r="D353" s="28"/>
      <c r="E353" s="28"/>
      <c r="F353" s="29"/>
      <c r="G353" s="29"/>
      <c r="H353" s="29"/>
      <c r="I353" s="29"/>
      <c r="J353" s="29"/>
      <c r="K353" s="29"/>
      <c r="L353" s="30" t="str">
        <f aca="false">IF(A353="","",SUM(G353:K353))</f>
        <v/>
      </c>
      <c r="M353" s="31" t="str">
        <f aca="false">IF(A353="","",IF(F353=0,0,L353/F353))</f>
        <v/>
      </c>
      <c r="N353" s="5" t="str">
        <f aca="false">IF(A353="","",CHOOSE(WEEKDAY(A353,2),"月","火","水","木","金","土","日"))</f>
        <v/>
      </c>
      <c r="O353" s="5" t="str">
        <f aca="false">IF(B353="","",IF(HOUR(B353)&lt;6,"深夜(0-5時)",IF(HOUR(B353)&lt;11,"朝(6-10時)",IF(HOUR(B353)&lt;15,"昼(11-14時)",IF(HOUR(B353)&lt;19,"夕方(15-18時)","夜(19-23時)")))))</f>
        <v/>
      </c>
      <c r="P353" s="32" t="str">
        <f aca="false">IF(M353="","",M353+ROW()/1000000000)</f>
        <v/>
      </c>
    </row>
    <row r="354" customFormat="false" ht="15" hidden="false" customHeight="false" outlineLevel="0" collapsed="false">
      <c r="A354" s="25"/>
      <c r="B354" s="26"/>
      <c r="C354" s="27"/>
      <c r="D354" s="28"/>
      <c r="E354" s="28"/>
      <c r="F354" s="29"/>
      <c r="G354" s="29"/>
      <c r="H354" s="29"/>
      <c r="I354" s="29"/>
      <c r="J354" s="29"/>
      <c r="K354" s="29"/>
      <c r="L354" s="30" t="str">
        <f aca="false">IF(A354="","",SUM(G354:K354))</f>
        <v/>
      </c>
      <c r="M354" s="31" t="str">
        <f aca="false">IF(A354="","",IF(F354=0,0,L354/F354))</f>
        <v/>
      </c>
      <c r="N354" s="5" t="str">
        <f aca="false">IF(A354="","",CHOOSE(WEEKDAY(A354,2),"月","火","水","木","金","土","日"))</f>
        <v/>
      </c>
      <c r="O354" s="5" t="str">
        <f aca="false">IF(B354="","",IF(HOUR(B354)&lt;6,"深夜(0-5時)",IF(HOUR(B354)&lt;11,"朝(6-10時)",IF(HOUR(B354)&lt;15,"昼(11-14時)",IF(HOUR(B354)&lt;19,"夕方(15-18時)","夜(19-23時)")))))</f>
        <v/>
      </c>
      <c r="P354" s="32" t="str">
        <f aca="false">IF(M354="","",M354+ROW()/1000000000)</f>
        <v/>
      </c>
    </row>
    <row r="355" customFormat="false" ht="15" hidden="false" customHeight="false" outlineLevel="0" collapsed="false">
      <c r="A355" s="25"/>
      <c r="B355" s="26"/>
      <c r="C355" s="27"/>
      <c r="D355" s="28"/>
      <c r="E355" s="28"/>
      <c r="F355" s="29"/>
      <c r="G355" s="29"/>
      <c r="H355" s="29"/>
      <c r="I355" s="29"/>
      <c r="J355" s="29"/>
      <c r="K355" s="29"/>
      <c r="L355" s="30" t="str">
        <f aca="false">IF(A355="","",SUM(G355:K355))</f>
        <v/>
      </c>
      <c r="M355" s="31" t="str">
        <f aca="false">IF(A355="","",IF(F355=0,0,L355/F355))</f>
        <v/>
      </c>
      <c r="N355" s="5" t="str">
        <f aca="false">IF(A355="","",CHOOSE(WEEKDAY(A355,2),"月","火","水","木","金","土","日"))</f>
        <v/>
      </c>
      <c r="O355" s="5" t="str">
        <f aca="false">IF(B355="","",IF(HOUR(B355)&lt;6,"深夜(0-5時)",IF(HOUR(B355)&lt;11,"朝(6-10時)",IF(HOUR(B355)&lt;15,"昼(11-14時)",IF(HOUR(B355)&lt;19,"夕方(15-18時)","夜(19-23時)")))))</f>
        <v/>
      </c>
      <c r="P355" s="32" t="str">
        <f aca="false">IF(M355="","",M355+ROW()/1000000000)</f>
        <v/>
      </c>
    </row>
    <row r="356" customFormat="false" ht="15" hidden="false" customHeight="false" outlineLevel="0" collapsed="false">
      <c r="A356" s="25"/>
      <c r="B356" s="26"/>
      <c r="C356" s="27"/>
      <c r="D356" s="28"/>
      <c r="E356" s="28"/>
      <c r="F356" s="29"/>
      <c r="G356" s="29"/>
      <c r="H356" s="29"/>
      <c r="I356" s="29"/>
      <c r="J356" s="29"/>
      <c r="K356" s="29"/>
      <c r="L356" s="30" t="str">
        <f aca="false">IF(A356="","",SUM(G356:K356))</f>
        <v/>
      </c>
      <c r="M356" s="31" t="str">
        <f aca="false">IF(A356="","",IF(F356=0,0,L356/F356))</f>
        <v/>
      </c>
      <c r="N356" s="5" t="str">
        <f aca="false">IF(A356="","",CHOOSE(WEEKDAY(A356,2),"月","火","水","木","金","土","日"))</f>
        <v/>
      </c>
      <c r="O356" s="5" t="str">
        <f aca="false">IF(B356="","",IF(HOUR(B356)&lt;6,"深夜(0-5時)",IF(HOUR(B356)&lt;11,"朝(6-10時)",IF(HOUR(B356)&lt;15,"昼(11-14時)",IF(HOUR(B356)&lt;19,"夕方(15-18時)","夜(19-23時)")))))</f>
        <v/>
      </c>
      <c r="P356" s="32" t="str">
        <f aca="false">IF(M356="","",M356+ROW()/1000000000)</f>
        <v/>
      </c>
    </row>
    <row r="357" customFormat="false" ht="15" hidden="false" customHeight="false" outlineLevel="0" collapsed="false">
      <c r="A357" s="25"/>
      <c r="B357" s="26"/>
      <c r="C357" s="27"/>
      <c r="D357" s="28"/>
      <c r="E357" s="28"/>
      <c r="F357" s="29"/>
      <c r="G357" s="29"/>
      <c r="H357" s="29"/>
      <c r="I357" s="29"/>
      <c r="J357" s="29"/>
      <c r="K357" s="29"/>
      <c r="L357" s="30" t="str">
        <f aca="false">IF(A357="","",SUM(G357:K357))</f>
        <v/>
      </c>
      <c r="M357" s="31" t="str">
        <f aca="false">IF(A357="","",IF(F357=0,0,L357/F357))</f>
        <v/>
      </c>
      <c r="N357" s="5" t="str">
        <f aca="false">IF(A357="","",CHOOSE(WEEKDAY(A357,2),"月","火","水","木","金","土","日"))</f>
        <v/>
      </c>
      <c r="O357" s="5" t="str">
        <f aca="false">IF(B357="","",IF(HOUR(B357)&lt;6,"深夜(0-5時)",IF(HOUR(B357)&lt;11,"朝(6-10時)",IF(HOUR(B357)&lt;15,"昼(11-14時)",IF(HOUR(B357)&lt;19,"夕方(15-18時)","夜(19-23時)")))))</f>
        <v/>
      </c>
      <c r="P357" s="32" t="str">
        <f aca="false">IF(M357="","",M357+ROW()/1000000000)</f>
        <v/>
      </c>
    </row>
    <row r="358" customFormat="false" ht="15" hidden="false" customHeight="false" outlineLevel="0" collapsed="false">
      <c r="A358" s="25"/>
      <c r="B358" s="26"/>
      <c r="C358" s="27"/>
      <c r="D358" s="28"/>
      <c r="E358" s="28"/>
      <c r="F358" s="29"/>
      <c r="G358" s="29"/>
      <c r="H358" s="29"/>
      <c r="I358" s="29"/>
      <c r="J358" s="29"/>
      <c r="K358" s="29"/>
      <c r="L358" s="30" t="str">
        <f aca="false">IF(A358="","",SUM(G358:K358))</f>
        <v/>
      </c>
      <c r="M358" s="31" t="str">
        <f aca="false">IF(A358="","",IF(F358=0,0,L358/F358))</f>
        <v/>
      </c>
      <c r="N358" s="5" t="str">
        <f aca="false">IF(A358="","",CHOOSE(WEEKDAY(A358,2),"月","火","水","木","金","土","日"))</f>
        <v/>
      </c>
      <c r="O358" s="5" t="str">
        <f aca="false">IF(B358="","",IF(HOUR(B358)&lt;6,"深夜(0-5時)",IF(HOUR(B358)&lt;11,"朝(6-10時)",IF(HOUR(B358)&lt;15,"昼(11-14時)",IF(HOUR(B358)&lt;19,"夕方(15-18時)","夜(19-23時)")))))</f>
        <v/>
      </c>
      <c r="P358" s="32" t="str">
        <f aca="false">IF(M358="","",M358+ROW()/1000000000)</f>
        <v/>
      </c>
    </row>
    <row r="359" customFormat="false" ht="15" hidden="false" customHeight="false" outlineLevel="0" collapsed="false">
      <c r="A359" s="25"/>
      <c r="B359" s="26"/>
      <c r="C359" s="27"/>
      <c r="D359" s="28"/>
      <c r="E359" s="28"/>
      <c r="F359" s="29"/>
      <c r="G359" s="29"/>
      <c r="H359" s="29"/>
      <c r="I359" s="29"/>
      <c r="J359" s="29"/>
      <c r="K359" s="29"/>
      <c r="L359" s="30" t="str">
        <f aca="false">IF(A359="","",SUM(G359:K359))</f>
        <v/>
      </c>
      <c r="M359" s="31" t="str">
        <f aca="false">IF(A359="","",IF(F359=0,0,L359/F359))</f>
        <v/>
      </c>
      <c r="N359" s="5" t="str">
        <f aca="false">IF(A359="","",CHOOSE(WEEKDAY(A359,2),"月","火","水","木","金","土","日"))</f>
        <v/>
      </c>
      <c r="O359" s="5" t="str">
        <f aca="false">IF(B359="","",IF(HOUR(B359)&lt;6,"深夜(0-5時)",IF(HOUR(B359)&lt;11,"朝(6-10時)",IF(HOUR(B359)&lt;15,"昼(11-14時)",IF(HOUR(B359)&lt;19,"夕方(15-18時)","夜(19-23時)")))))</f>
        <v/>
      </c>
      <c r="P359" s="32" t="str">
        <f aca="false">IF(M359="","",M359+ROW()/1000000000)</f>
        <v/>
      </c>
    </row>
    <row r="360" customFormat="false" ht="15" hidden="false" customHeight="false" outlineLevel="0" collapsed="false">
      <c r="A360" s="25"/>
      <c r="B360" s="26"/>
      <c r="C360" s="27"/>
      <c r="D360" s="28"/>
      <c r="E360" s="28"/>
      <c r="F360" s="29"/>
      <c r="G360" s="29"/>
      <c r="H360" s="29"/>
      <c r="I360" s="29"/>
      <c r="J360" s="29"/>
      <c r="K360" s="29"/>
      <c r="L360" s="30" t="str">
        <f aca="false">IF(A360="","",SUM(G360:K360))</f>
        <v/>
      </c>
      <c r="M360" s="31" t="str">
        <f aca="false">IF(A360="","",IF(F360=0,0,L360/F360))</f>
        <v/>
      </c>
      <c r="N360" s="5" t="str">
        <f aca="false">IF(A360="","",CHOOSE(WEEKDAY(A360,2),"月","火","水","木","金","土","日"))</f>
        <v/>
      </c>
      <c r="O360" s="5" t="str">
        <f aca="false">IF(B360="","",IF(HOUR(B360)&lt;6,"深夜(0-5時)",IF(HOUR(B360)&lt;11,"朝(6-10時)",IF(HOUR(B360)&lt;15,"昼(11-14時)",IF(HOUR(B360)&lt;19,"夕方(15-18時)","夜(19-23時)")))))</f>
        <v/>
      </c>
      <c r="P360" s="32" t="str">
        <f aca="false">IF(M360="","",M360+ROW()/1000000000)</f>
        <v/>
      </c>
    </row>
    <row r="361" customFormat="false" ht="15" hidden="false" customHeight="false" outlineLevel="0" collapsed="false">
      <c r="A361" s="25"/>
      <c r="B361" s="26"/>
      <c r="C361" s="27"/>
      <c r="D361" s="28"/>
      <c r="E361" s="28"/>
      <c r="F361" s="29"/>
      <c r="G361" s="29"/>
      <c r="H361" s="29"/>
      <c r="I361" s="29"/>
      <c r="J361" s="29"/>
      <c r="K361" s="29"/>
      <c r="L361" s="30" t="str">
        <f aca="false">IF(A361="","",SUM(G361:K361))</f>
        <v/>
      </c>
      <c r="M361" s="31" t="str">
        <f aca="false">IF(A361="","",IF(F361=0,0,L361/F361))</f>
        <v/>
      </c>
      <c r="N361" s="5" t="str">
        <f aca="false">IF(A361="","",CHOOSE(WEEKDAY(A361,2),"月","火","水","木","金","土","日"))</f>
        <v/>
      </c>
      <c r="O361" s="5" t="str">
        <f aca="false">IF(B361="","",IF(HOUR(B361)&lt;6,"深夜(0-5時)",IF(HOUR(B361)&lt;11,"朝(6-10時)",IF(HOUR(B361)&lt;15,"昼(11-14時)",IF(HOUR(B361)&lt;19,"夕方(15-18時)","夜(19-23時)")))))</f>
        <v/>
      </c>
      <c r="P361" s="32" t="str">
        <f aca="false">IF(M361="","",M361+ROW()/1000000000)</f>
        <v/>
      </c>
    </row>
    <row r="362" customFormat="false" ht="15" hidden="false" customHeight="false" outlineLevel="0" collapsed="false">
      <c r="A362" s="25"/>
      <c r="B362" s="26"/>
      <c r="C362" s="27"/>
      <c r="D362" s="28"/>
      <c r="E362" s="28"/>
      <c r="F362" s="29"/>
      <c r="G362" s="29"/>
      <c r="H362" s="29"/>
      <c r="I362" s="29"/>
      <c r="J362" s="29"/>
      <c r="K362" s="29"/>
      <c r="L362" s="30" t="str">
        <f aca="false">IF(A362="","",SUM(G362:K362))</f>
        <v/>
      </c>
      <c r="M362" s="31" t="str">
        <f aca="false">IF(A362="","",IF(F362=0,0,L362/F362))</f>
        <v/>
      </c>
      <c r="N362" s="5" t="str">
        <f aca="false">IF(A362="","",CHOOSE(WEEKDAY(A362,2),"月","火","水","木","金","土","日"))</f>
        <v/>
      </c>
      <c r="O362" s="5" t="str">
        <f aca="false">IF(B362="","",IF(HOUR(B362)&lt;6,"深夜(0-5時)",IF(HOUR(B362)&lt;11,"朝(6-10時)",IF(HOUR(B362)&lt;15,"昼(11-14時)",IF(HOUR(B362)&lt;19,"夕方(15-18時)","夜(19-23時)")))))</f>
        <v/>
      </c>
      <c r="P362" s="32" t="str">
        <f aca="false">IF(M362="","",M362+ROW()/1000000000)</f>
        <v/>
      </c>
    </row>
    <row r="363" customFormat="false" ht="15" hidden="false" customHeight="false" outlineLevel="0" collapsed="false">
      <c r="A363" s="25"/>
      <c r="B363" s="26"/>
      <c r="C363" s="27"/>
      <c r="D363" s="28"/>
      <c r="E363" s="28"/>
      <c r="F363" s="29"/>
      <c r="G363" s="29"/>
      <c r="H363" s="29"/>
      <c r="I363" s="29"/>
      <c r="J363" s="29"/>
      <c r="K363" s="29"/>
      <c r="L363" s="30" t="str">
        <f aca="false">IF(A363="","",SUM(G363:K363))</f>
        <v/>
      </c>
      <c r="M363" s="31" t="str">
        <f aca="false">IF(A363="","",IF(F363=0,0,L363/F363))</f>
        <v/>
      </c>
      <c r="N363" s="5" t="str">
        <f aca="false">IF(A363="","",CHOOSE(WEEKDAY(A363,2),"月","火","水","木","金","土","日"))</f>
        <v/>
      </c>
      <c r="O363" s="5" t="str">
        <f aca="false">IF(B363="","",IF(HOUR(B363)&lt;6,"深夜(0-5時)",IF(HOUR(B363)&lt;11,"朝(6-10時)",IF(HOUR(B363)&lt;15,"昼(11-14時)",IF(HOUR(B363)&lt;19,"夕方(15-18時)","夜(19-23時)")))))</f>
        <v/>
      </c>
      <c r="P363" s="32" t="str">
        <f aca="false">IF(M363="","",M363+ROW()/1000000000)</f>
        <v/>
      </c>
    </row>
    <row r="364" customFormat="false" ht="15" hidden="false" customHeight="false" outlineLevel="0" collapsed="false">
      <c r="A364" s="25"/>
      <c r="B364" s="26"/>
      <c r="C364" s="27"/>
      <c r="D364" s="28"/>
      <c r="E364" s="28"/>
      <c r="F364" s="29"/>
      <c r="G364" s="29"/>
      <c r="H364" s="29"/>
      <c r="I364" s="29"/>
      <c r="J364" s="29"/>
      <c r="K364" s="29"/>
      <c r="L364" s="30" t="str">
        <f aca="false">IF(A364="","",SUM(G364:K364))</f>
        <v/>
      </c>
      <c r="M364" s="31" t="str">
        <f aca="false">IF(A364="","",IF(F364=0,0,L364/F364))</f>
        <v/>
      </c>
      <c r="N364" s="5" t="str">
        <f aca="false">IF(A364="","",CHOOSE(WEEKDAY(A364,2),"月","火","水","木","金","土","日"))</f>
        <v/>
      </c>
      <c r="O364" s="5" t="str">
        <f aca="false">IF(B364="","",IF(HOUR(B364)&lt;6,"深夜(0-5時)",IF(HOUR(B364)&lt;11,"朝(6-10時)",IF(HOUR(B364)&lt;15,"昼(11-14時)",IF(HOUR(B364)&lt;19,"夕方(15-18時)","夜(19-23時)")))))</f>
        <v/>
      </c>
      <c r="P364" s="32" t="str">
        <f aca="false">IF(M364="","",M364+ROW()/1000000000)</f>
        <v/>
      </c>
    </row>
    <row r="365" customFormat="false" ht="15" hidden="false" customHeight="false" outlineLevel="0" collapsed="false">
      <c r="A365" s="25"/>
      <c r="B365" s="26"/>
      <c r="C365" s="27"/>
      <c r="D365" s="28"/>
      <c r="E365" s="28"/>
      <c r="F365" s="29"/>
      <c r="G365" s="29"/>
      <c r="H365" s="29"/>
      <c r="I365" s="29"/>
      <c r="J365" s="29"/>
      <c r="K365" s="29"/>
      <c r="L365" s="30" t="str">
        <f aca="false">IF(A365="","",SUM(G365:K365))</f>
        <v/>
      </c>
      <c r="M365" s="31" t="str">
        <f aca="false">IF(A365="","",IF(F365=0,0,L365/F365))</f>
        <v/>
      </c>
      <c r="N365" s="5" t="str">
        <f aca="false">IF(A365="","",CHOOSE(WEEKDAY(A365,2),"月","火","水","木","金","土","日"))</f>
        <v/>
      </c>
      <c r="O365" s="5" t="str">
        <f aca="false">IF(B365="","",IF(HOUR(B365)&lt;6,"深夜(0-5時)",IF(HOUR(B365)&lt;11,"朝(6-10時)",IF(HOUR(B365)&lt;15,"昼(11-14時)",IF(HOUR(B365)&lt;19,"夕方(15-18時)","夜(19-23時)")))))</f>
        <v/>
      </c>
      <c r="P365" s="32" t="str">
        <f aca="false">IF(M365="","",M365+ROW()/1000000000)</f>
        <v/>
      </c>
    </row>
    <row r="366" customFormat="false" ht="15" hidden="false" customHeight="false" outlineLevel="0" collapsed="false">
      <c r="A366" s="25"/>
      <c r="B366" s="26"/>
      <c r="C366" s="27"/>
      <c r="D366" s="28"/>
      <c r="E366" s="28"/>
      <c r="F366" s="29"/>
      <c r="G366" s="29"/>
      <c r="H366" s="29"/>
      <c r="I366" s="29"/>
      <c r="J366" s="29"/>
      <c r="K366" s="29"/>
      <c r="L366" s="30" t="str">
        <f aca="false">IF(A366="","",SUM(G366:K366))</f>
        <v/>
      </c>
      <c r="M366" s="31" t="str">
        <f aca="false">IF(A366="","",IF(F366=0,0,L366/F366))</f>
        <v/>
      </c>
      <c r="N366" s="5" t="str">
        <f aca="false">IF(A366="","",CHOOSE(WEEKDAY(A366,2),"月","火","水","木","金","土","日"))</f>
        <v/>
      </c>
      <c r="O366" s="5" t="str">
        <f aca="false">IF(B366="","",IF(HOUR(B366)&lt;6,"深夜(0-5時)",IF(HOUR(B366)&lt;11,"朝(6-10時)",IF(HOUR(B366)&lt;15,"昼(11-14時)",IF(HOUR(B366)&lt;19,"夕方(15-18時)","夜(19-23時)")))))</f>
        <v/>
      </c>
      <c r="P366" s="32" t="str">
        <f aca="false">IF(M366="","",M366+ROW()/1000000000)</f>
        <v/>
      </c>
    </row>
    <row r="367" customFormat="false" ht="15" hidden="false" customHeight="false" outlineLevel="0" collapsed="false">
      <c r="A367" s="25"/>
      <c r="B367" s="26"/>
      <c r="C367" s="27"/>
      <c r="D367" s="28"/>
      <c r="E367" s="28"/>
      <c r="F367" s="29"/>
      <c r="G367" s="29"/>
      <c r="H367" s="29"/>
      <c r="I367" s="29"/>
      <c r="J367" s="29"/>
      <c r="K367" s="29"/>
      <c r="L367" s="30" t="str">
        <f aca="false">IF(A367="","",SUM(G367:K367))</f>
        <v/>
      </c>
      <c r="M367" s="31" t="str">
        <f aca="false">IF(A367="","",IF(F367=0,0,L367/F367))</f>
        <v/>
      </c>
      <c r="N367" s="5" t="str">
        <f aca="false">IF(A367="","",CHOOSE(WEEKDAY(A367,2),"月","火","水","木","金","土","日"))</f>
        <v/>
      </c>
      <c r="O367" s="5" t="str">
        <f aca="false">IF(B367="","",IF(HOUR(B367)&lt;6,"深夜(0-5時)",IF(HOUR(B367)&lt;11,"朝(6-10時)",IF(HOUR(B367)&lt;15,"昼(11-14時)",IF(HOUR(B367)&lt;19,"夕方(15-18時)","夜(19-23時)")))))</f>
        <v/>
      </c>
      <c r="P367" s="32" t="str">
        <f aca="false">IF(M367="","",M367+ROW()/1000000000)</f>
        <v/>
      </c>
    </row>
    <row r="368" customFormat="false" ht="15" hidden="false" customHeight="false" outlineLevel="0" collapsed="false">
      <c r="A368" s="25"/>
      <c r="B368" s="26"/>
      <c r="C368" s="27"/>
      <c r="D368" s="28"/>
      <c r="E368" s="28"/>
      <c r="F368" s="29"/>
      <c r="G368" s="29"/>
      <c r="H368" s="29"/>
      <c r="I368" s="29"/>
      <c r="J368" s="29"/>
      <c r="K368" s="29"/>
      <c r="L368" s="30" t="str">
        <f aca="false">IF(A368="","",SUM(G368:K368))</f>
        <v/>
      </c>
      <c r="M368" s="31" t="str">
        <f aca="false">IF(A368="","",IF(F368=0,0,L368/F368))</f>
        <v/>
      </c>
      <c r="N368" s="5" t="str">
        <f aca="false">IF(A368="","",CHOOSE(WEEKDAY(A368,2),"月","火","水","木","金","土","日"))</f>
        <v/>
      </c>
      <c r="O368" s="5" t="str">
        <f aca="false">IF(B368="","",IF(HOUR(B368)&lt;6,"深夜(0-5時)",IF(HOUR(B368)&lt;11,"朝(6-10時)",IF(HOUR(B368)&lt;15,"昼(11-14時)",IF(HOUR(B368)&lt;19,"夕方(15-18時)","夜(19-23時)")))))</f>
        <v/>
      </c>
      <c r="P368" s="32" t="str">
        <f aca="false">IF(M368="","",M368+ROW()/1000000000)</f>
        <v/>
      </c>
    </row>
    <row r="369" customFormat="false" ht="15" hidden="false" customHeight="false" outlineLevel="0" collapsed="false">
      <c r="A369" s="25"/>
      <c r="B369" s="26"/>
      <c r="C369" s="27"/>
      <c r="D369" s="28"/>
      <c r="E369" s="28"/>
      <c r="F369" s="29"/>
      <c r="G369" s="29"/>
      <c r="H369" s="29"/>
      <c r="I369" s="29"/>
      <c r="J369" s="29"/>
      <c r="K369" s="29"/>
      <c r="L369" s="30" t="str">
        <f aca="false">IF(A369="","",SUM(G369:K369))</f>
        <v/>
      </c>
      <c r="M369" s="31" t="str">
        <f aca="false">IF(A369="","",IF(F369=0,0,L369/F369))</f>
        <v/>
      </c>
      <c r="N369" s="5" t="str">
        <f aca="false">IF(A369="","",CHOOSE(WEEKDAY(A369,2),"月","火","水","木","金","土","日"))</f>
        <v/>
      </c>
      <c r="O369" s="5" t="str">
        <f aca="false">IF(B369="","",IF(HOUR(B369)&lt;6,"深夜(0-5時)",IF(HOUR(B369)&lt;11,"朝(6-10時)",IF(HOUR(B369)&lt;15,"昼(11-14時)",IF(HOUR(B369)&lt;19,"夕方(15-18時)","夜(19-23時)")))))</f>
        <v/>
      </c>
      <c r="P369" s="32" t="str">
        <f aca="false">IF(M369="","",M369+ROW()/1000000000)</f>
        <v/>
      </c>
    </row>
    <row r="370" customFormat="false" ht="15" hidden="false" customHeight="false" outlineLevel="0" collapsed="false">
      <c r="A370" s="25"/>
      <c r="B370" s="26"/>
      <c r="C370" s="27"/>
      <c r="D370" s="28"/>
      <c r="E370" s="28"/>
      <c r="F370" s="29"/>
      <c r="G370" s="29"/>
      <c r="H370" s="29"/>
      <c r="I370" s="29"/>
      <c r="J370" s="29"/>
      <c r="K370" s="29"/>
      <c r="L370" s="30" t="str">
        <f aca="false">IF(A370="","",SUM(G370:K370))</f>
        <v/>
      </c>
      <c r="M370" s="31" t="str">
        <f aca="false">IF(A370="","",IF(F370=0,0,L370/F370))</f>
        <v/>
      </c>
      <c r="N370" s="5" t="str">
        <f aca="false">IF(A370="","",CHOOSE(WEEKDAY(A370,2),"月","火","水","木","金","土","日"))</f>
        <v/>
      </c>
      <c r="O370" s="5" t="str">
        <f aca="false">IF(B370="","",IF(HOUR(B370)&lt;6,"深夜(0-5時)",IF(HOUR(B370)&lt;11,"朝(6-10時)",IF(HOUR(B370)&lt;15,"昼(11-14時)",IF(HOUR(B370)&lt;19,"夕方(15-18時)","夜(19-23時)")))))</f>
        <v/>
      </c>
      <c r="P370" s="32" t="str">
        <f aca="false">IF(M370="","",M370+ROW()/1000000000)</f>
        <v/>
      </c>
    </row>
    <row r="371" customFormat="false" ht="15" hidden="false" customHeight="false" outlineLevel="0" collapsed="false">
      <c r="A371" s="25"/>
      <c r="B371" s="26"/>
      <c r="C371" s="27"/>
      <c r="D371" s="28"/>
      <c r="E371" s="28"/>
      <c r="F371" s="29"/>
      <c r="G371" s="29"/>
      <c r="H371" s="29"/>
      <c r="I371" s="29"/>
      <c r="J371" s="29"/>
      <c r="K371" s="29"/>
      <c r="L371" s="30" t="str">
        <f aca="false">IF(A371="","",SUM(G371:K371))</f>
        <v/>
      </c>
      <c r="M371" s="31" t="str">
        <f aca="false">IF(A371="","",IF(F371=0,0,L371/F371))</f>
        <v/>
      </c>
      <c r="N371" s="5" t="str">
        <f aca="false">IF(A371="","",CHOOSE(WEEKDAY(A371,2),"月","火","水","木","金","土","日"))</f>
        <v/>
      </c>
      <c r="O371" s="5" t="str">
        <f aca="false">IF(B371="","",IF(HOUR(B371)&lt;6,"深夜(0-5時)",IF(HOUR(B371)&lt;11,"朝(6-10時)",IF(HOUR(B371)&lt;15,"昼(11-14時)",IF(HOUR(B371)&lt;19,"夕方(15-18時)","夜(19-23時)")))))</f>
        <v/>
      </c>
      <c r="P371" s="32" t="str">
        <f aca="false">IF(M371="","",M371+ROW()/1000000000)</f>
        <v/>
      </c>
    </row>
    <row r="372" customFormat="false" ht="15" hidden="false" customHeight="false" outlineLevel="0" collapsed="false">
      <c r="A372" s="25"/>
      <c r="B372" s="26"/>
      <c r="C372" s="27"/>
      <c r="D372" s="28"/>
      <c r="E372" s="28"/>
      <c r="F372" s="29"/>
      <c r="G372" s="29"/>
      <c r="H372" s="29"/>
      <c r="I372" s="29"/>
      <c r="J372" s="29"/>
      <c r="K372" s="29"/>
      <c r="L372" s="30" t="str">
        <f aca="false">IF(A372="","",SUM(G372:K372))</f>
        <v/>
      </c>
      <c r="M372" s="31" t="str">
        <f aca="false">IF(A372="","",IF(F372=0,0,L372/F372))</f>
        <v/>
      </c>
      <c r="N372" s="5" t="str">
        <f aca="false">IF(A372="","",CHOOSE(WEEKDAY(A372,2),"月","火","水","木","金","土","日"))</f>
        <v/>
      </c>
      <c r="O372" s="5" t="str">
        <f aca="false">IF(B372="","",IF(HOUR(B372)&lt;6,"深夜(0-5時)",IF(HOUR(B372)&lt;11,"朝(6-10時)",IF(HOUR(B372)&lt;15,"昼(11-14時)",IF(HOUR(B372)&lt;19,"夕方(15-18時)","夜(19-23時)")))))</f>
        <v/>
      </c>
      <c r="P372" s="32" t="str">
        <f aca="false">IF(M372="","",M372+ROW()/1000000000)</f>
        <v/>
      </c>
    </row>
    <row r="373" customFormat="false" ht="15" hidden="false" customHeight="false" outlineLevel="0" collapsed="false">
      <c r="A373" s="25"/>
      <c r="B373" s="26"/>
      <c r="C373" s="27"/>
      <c r="D373" s="28"/>
      <c r="E373" s="28"/>
      <c r="F373" s="29"/>
      <c r="G373" s="29"/>
      <c r="H373" s="29"/>
      <c r="I373" s="29"/>
      <c r="J373" s="29"/>
      <c r="K373" s="29"/>
      <c r="L373" s="30" t="str">
        <f aca="false">IF(A373="","",SUM(G373:K373))</f>
        <v/>
      </c>
      <c r="M373" s="31" t="str">
        <f aca="false">IF(A373="","",IF(F373=0,0,L373/F373))</f>
        <v/>
      </c>
      <c r="N373" s="5" t="str">
        <f aca="false">IF(A373="","",CHOOSE(WEEKDAY(A373,2),"月","火","水","木","金","土","日"))</f>
        <v/>
      </c>
      <c r="O373" s="5" t="str">
        <f aca="false">IF(B373="","",IF(HOUR(B373)&lt;6,"深夜(0-5時)",IF(HOUR(B373)&lt;11,"朝(6-10時)",IF(HOUR(B373)&lt;15,"昼(11-14時)",IF(HOUR(B373)&lt;19,"夕方(15-18時)","夜(19-23時)")))))</f>
        <v/>
      </c>
      <c r="P373" s="32" t="str">
        <f aca="false">IF(M373="","",M373+ROW()/1000000000)</f>
        <v/>
      </c>
    </row>
    <row r="374" customFormat="false" ht="15" hidden="false" customHeight="false" outlineLevel="0" collapsed="false">
      <c r="A374" s="25"/>
      <c r="B374" s="26"/>
      <c r="C374" s="27"/>
      <c r="D374" s="28"/>
      <c r="E374" s="28"/>
      <c r="F374" s="29"/>
      <c r="G374" s="29"/>
      <c r="H374" s="29"/>
      <c r="I374" s="29"/>
      <c r="J374" s="29"/>
      <c r="K374" s="29"/>
      <c r="L374" s="30" t="str">
        <f aca="false">IF(A374="","",SUM(G374:K374))</f>
        <v/>
      </c>
      <c r="M374" s="31" t="str">
        <f aca="false">IF(A374="","",IF(F374=0,0,L374/F374))</f>
        <v/>
      </c>
      <c r="N374" s="5" t="str">
        <f aca="false">IF(A374="","",CHOOSE(WEEKDAY(A374,2),"月","火","水","木","金","土","日"))</f>
        <v/>
      </c>
      <c r="O374" s="5" t="str">
        <f aca="false">IF(B374="","",IF(HOUR(B374)&lt;6,"深夜(0-5時)",IF(HOUR(B374)&lt;11,"朝(6-10時)",IF(HOUR(B374)&lt;15,"昼(11-14時)",IF(HOUR(B374)&lt;19,"夕方(15-18時)","夜(19-23時)")))))</f>
        <v/>
      </c>
      <c r="P374" s="32" t="str">
        <f aca="false">IF(M374="","",M374+ROW()/1000000000)</f>
        <v/>
      </c>
    </row>
    <row r="375" customFormat="false" ht="15" hidden="false" customHeight="false" outlineLevel="0" collapsed="false">
      <c r="A375" s="25"/>
      <c r="B375" s="26"/>
      <c r="C375" s="27"/>
      <c r="D375" s="28"/>
      <c r="E375" s="28"/>
      <c r="F375" s="29"/>
      <c r="G375" s="29"/>
      <c r="H375" s="29"/>
      <c r="I375" s="29"/>
      <c r="J375" s="29"/>
      <c r="K375" s="29"/>
      <c r="L375" s="30" t="str">
        <f aca="false">IF(A375="","",SUM(G375:K375))</f>
        <v/>
      </c>
      <c r="M375" s="31" t="str">
        <f aca="false">IF(A375="","",IF(F375=0,0,L375/F375))</f>
        <v/>
      </c>
      <c r="N375" s="5" t="str">
        <f aca="false">IF(A375="","",CHOOSE(WEEKDAY(A375,2),"月","火","水","木","金","土","日"))</f>
        <v/>
      </c>
      <c r="O375" s="5" t="str">
        <f aca="false">IF(B375="","",IF(HOUR(B375)&lt;6,"深夜(0-5時)",IF(HOUR(B375)&lt;11,"朝(6-10時)",IF(HOUR(B375)&lt;15,"昼(11-14時)",IF(HOUR(B375)&lt;19,"夕方(15-18時)","夜(19-23時)")))))</f>
        <v/>
      </c>
      <c r="P375" s="32" t="str">
        <f aca="false">IF(M375="","",M375+ROW()/1000000000)</f>
        <v/>
      </c>
    </row>
    <row r="376" customFormat="false" ht="15" hidden="false" customHeight="false" outlineLevel="0" collapsed="false">
      <c r="A376" s="25"/>
      <c r="B376" s="26"/>
      <c r="C376" s="27"/>
      <c r="D376" s="28"/>
      <c r="E376" s="28"/>
      <c r="F376" s="29"/>
      <c r="G376" s="29"/>
      <c r="H376" s="29"/>
      <c r="I376" s="29"/>
      <c r="J376" s="29"/>
      <c r="K376" s="29"/>
      <c r="L376" s="30" t="str">
        <f aca="false">IF(A376="","",SUM(G376:K376))</f>
        <v/>
      </c>
      <c r="M376" s="31" t="str">
        <f aca="false">IF(A376="","",IF(F376=0,0,L376/F376))</f>
        <v/>
      </c>
      <c r="N376" s="5" t="str">
        <f aca="false">IF(A376="","",CHOOSE(WEEKDAY(A376,2),"月","火","水","木","金","土","日"))</f>
        <v/>
      </c>
      <c r="O376" s="5" t="str">
        <f aca="false">IF(B376="","",IF(HOUR(B376)&lt;6,"深夜(0-5時)",IF(HOUR(B376)&lt;11,"朝(6-10時)",IF(HOUR(B376)&lt;15,"昼(11-14時)",IF(HOUR(B376)&lt;19,"夕方(15-18時)","夜(19-23時)")))))</f>
        <v/>
      </c>
      <c r="P376" s="32" t="str">
        <f aca="false">IF(M376="","",M376+ROW()/1000000000)</f>
        <v/>
      </c>
    </row>
    <row r="377" customFormat="false" ht="15" hidden="false" customHeight="false" outlineLevel="0" collapsed="false">
      <c r="A377" s="25"/>
      <c r="B377" s="26"/>
      <c r="C377" s="27"/>
      <c r="D377" s="28"/>
      <c r="E377" s="28"/>
      <c r="F377" s="29"/>
      <c r="G377" s="29"/>
      <c r="H377" s="29"/>
      <c r="I377" s="29"/>
      <c r="J377" s="29"/>
      <c r="K377" s="29"/>
      <c r="L377" s="30" t="str">
        <f aca="false">IF(A377="","",SUM(G377:K377))</f>
        <v/>
      </c>
      <c r="M377" s="31" t="str">
        <f aca="false">IF(A377="","",IF(F377=0,0,L377/F377))</f>
        <v/>
      </c>
      <c r="N377" s="5" t="str">
        <f aca="false">IF(A377="","",CHOOSE(WEEKDAY(A377,2),"月","火","水","木","金","土","日"))</f>
        <v/>
      </c>
      <c r="O377" s="5" t="str">
        <f aca="false">IF(B377="","",IF(HOUR(B377)&lt;6,"深夜(0-5時)",IF(HOUR(B377)&lt;11,"朝(6-10時)",IF(HOUR(B377)&lt;15,"昼(11-14時)",IF(HOUR(B377)&lt;19,"夕方(15-18時)","夜(19-23時)")))))</f>
        <v/>
      </c>
      <c r="P377" s="32" t="str">
        <f aca="false">IF(M377="","",M377+ROW()/1000000000)</f>
        <v/>
      </c>
    </row>
    <row r="378" customFormat="false" ht="15" hidden="false" customHeight="false" outlineLevel="0" collapsed="false">
      <c r="A378" s="25"/>
      <c r="B378" s="26"/>
      <c r="C378" s="27"/>
      <c r="D378" s="28"/>
      <c r="E378" s="28"/>
      <c r="F378" s="29"/>
      <c r="G378" s="29"/>
      <c r="H378" s="29"/>
      <c r="I378" s="29"/>
      <c r="J378" s="29"/>
      <c r="K378" s="29"/>
      <c r="L378" s="30" t="str">
        <f aca="false">IF(A378="","",SUM(G378:K378))</f>
        <v/>
      </c>
      <c r="M378" s="31" t="str">
        <f aca="false">IF(A378="","",IF(F378=0,0,L378/F378))</f>
        <v/>
      </c>
      <c r="N378" s="5" t="str">
        <f aca="false">IF(A378="","",CHOOSE(WEEKDAY(A378,2),"月","火","水","木","金","土","日"))</f>
        <v/>
      </c>
      <c r="O378" s="5" t="str">
        <f aca="false">IF(B378="","",IF(HOUR(B378)&lt;6,"深夜(0-5時)",IF(HOUR(B378)&lt;11,"朝(6-10時)",IF(HOUR(B378)&lt;15,"昼(11-14時)",IF(HOUR(B378)&lt;19,"夕方(15-18時)","夜(19-23時)")))))</f>
        <v/>
      </c>
      <c r="P378" s="32" t="str">
        <f aca="false">IF(M378="","",M378+ROW()/1000000000)</f>
        <v/>
      </c>
    </row>
    <row r="379" customFormat="false" ht="15" hidden="false" customHeight="false" outlineLevel="0" collapsed="false">
      <c r="A379" s="25"/>
      <c r="B379" s="26"/>
      <c r="C379" s="27"/>
      <c r="D379" s="28"/>
      <c r="E379" s="28"/>
      <c r="F379" s="29"/>
      <c r="G379" s="29"/>
      <c r="H379" s="29"/>
      <c r="I379" s="29"/>
      <c r="J379" s="29"/>
      <c r="K379" s="29"/>
      <c r="L379" s="30" t="str">
        <f aca="false">IF(A379="","",SUM(G379:K379))</f>
        <v/>
      </c>
      <c r="M379" s="31" t="str">
        <f aca="false">IF(A379="","",IF(F379=0,0,L379/F379))</f>
        <v/>
      </c>
      <c r="N379" s="5" t="str">
        <f aca="false">IF(A379="","",CHOOSE(WEEKDAY(A379,2),"月","火","水","木","金","土","日"))</f>
        <v/>
      </c>
      <c r="O379" s="5" t="str">
        <f aca="false">IF(B379="","",IF(HOUR(B379)&lt;6,"深夜(0-5時)",IF(HOUR(B379)&lt;11,"朝(6-10時)",IF(HOUR(B379)&lt;15,"昼(11-14時)",IF(HOUR(B379)&lt;19,"夕方(15-18時)","夜(19-23時)")))))</f>
        <v/>
      </c>
      <c r="P379" s="32" t="str">
        <f aca="false">IF(M379="","",M379+ROW()/1000000000)</f>
        <v/>
      </c>
    </row>
    <row r="380" customFormat="false" ht="15" hidden="false" customHeight="false" outlineLevel="0" collapsed="false">
      <c r="A380" s="25"/>
      <c r="B380" s="26"/>
      <c r="C380" s="27"/>
      <c r="D380" s="28"/>
      <c r="E380" s="28"/>
      <c r="F380" s="29"/>
      <c r="G380" s="29"/>
      <c r="H380" s="29"/>
      <c r="I380" s="29"/>
      <c r="J380" s="29"/>
      <c r="K380" s="29"/>
      <c r="L380" s="30" t="str">
        <f aca="false">IF(A380="","",SUM(G380:K380))</f>
        <v/>
      </c>
      <c r="M380" s="31" t="str">
        <f aca="false">IF(A380="","",IF(F380=0,0,L380/F380))</f>
        <v/>
      </c>
      <c r="N380" s="5" t="str">
        <f aca="false">IF(A380="","",CHOOSE(WEEKDAY(A380,2),"月","火","水","木","金","土","日"))</f>
        <v/>
      </c>
      <c r="O380" s="5" t="str">
        <f aca="false">IF(B380="","",IF(HOUR(B380)&lt;6,"深夜(0-5時)",IF(HOUR(B380)&lt;11,"朝(6-10時)",IF(HOUR(B380)&lt;15,"昼(11-14時)",IF(HOUR(B380)&lt;19,"夕方(15-18時)","夜(19-23時)")))))</f>
        <v/>
      </c>
      <c r="P380" s="32" t="str">
        <f aca="false">IF(M380="","",M380+ROW()/1000000000)</f>
        <v/>
      </c>
    </row>
    <row r="381" customFormat="false" ht="15" hidden="false" customHeight="false" outlineLevel="0" collapsed="false">
      <c r="A381" s="25"/>
      <c r="B381" s="26"/>
      <c r="C381" s="27"/>
      <c r="D381" s="28"/>
      <c r="E381" s="28"/>
      <c r="F381" s="29"/>
      <c r="G381" s="29"/>
      <c r="H381" s="29"/>
      <c r="I381" s="29"/>
      <c r="J381" s="29"/>
      <c r="K381" s="29"/>
      <c r="L381" s="30" t="str">
        <f aca="false">IF(A381="","",SUM(G381:K381))</f>
        <v/>
      </c>
      <c r="M381" s="31" t="str">
        <f aca="false">IF(A381="","",IF(F381=0,0,L381/F381))</f>
        <v/>
      </c>
      <c r="N381" s="5" t="str">
        <f aca="false">IF(A381="","",CHOOSE(WEEKDAY(A381,2),"月","火","水","木","金","土","日"))</f>
        <v/>
      </c>
      <c r="O381" s="5" t="str">
        <f aca="false">IF(B381="","",IF(HOUR(B381)&lt;6,"深夜(0-5時)",IF(HOUR(B381)&lt;11,"朝(6-10時)",IF(HOUR(B381)&lt;15,"昼(11-14時)",IF(HOUR(B381)&lt;19,"夕方(15-18時)","夜(19-23時)")))))</f>
        <v/>
      </c>
      <c r="P381" s="32" t="str">
        <f aca="false">IF(M381="","",M381+ROW()/1000000000)</f>
        <v/>
      </c>
    </row>
    <row r="382" customFormat="false" ht="15" hidden="false" customHeight="false" outlineLevel="0" collapsed="false">
      <c r="A382" s="25"/>
      <c r="B382" s="26"/>
      <c r="C382" s="27"/>
      <c r="D382" s="28"/>
      <c r="E382" s="28"/>
      <c r="F382" s="29"/>
      <c r="G382" s="29"/>
      <c r="H382" s="29"/>
      <c r="I382" s="29"/>
      <c r="J382" s="29"/>
      <c r="K382" s="29"/>
      <c r="L382" s="30" t="str">
        <f aca="false">IF(A382="","",SUM(G382:K382))</f>
        <v/>
      </c>
      <c r="M382" s="31" t="str">
        <f aca="false">IF(A382="","",IF(F382=0,0,L382/F382))</f>
        <v/>
      </c>
      <c r="N382" s="5" t="str">
        <f aca="false">IF(A382="","",CHOOSE(WEEKDAY(A382,2),"月","火","水","木","金","土","日"))</f>
        <v/>
      </c>
      <c r="O382" s="5" t="str">
        <f aca="false">IF(B382="","",IF(HOUR(B382)&lt;6,"深夜(0-5時)",IF(HOUR(B382)&lt;11,"朝(6-10時)",IF(HOUR(B382)&lt;15,"昼(11-14時)",IF(HOUR(B382)&lt;19,"夕方(15-18時)","夜(19-23時)")))))</f>
        <v/>
      </c>
      <c r="P382" s="32" t="str">
        <f aca="false">IF(M382="","",M382+ROW()/1000000000)</f>
        <v/>
      </c>
    </row>
    <row r="383" customFormat="false" ht="15" hidden="false" customHeight="false" outlineLevel="0" collapsed="false">
      <c r="A383" s="25"/>
      <c r="B383" s="26"/>
      <c r="C383" s="27"/>
      <c r="D383" s="28"/>
      <c r="E383" s="28"/>
      <c r="F383" s="29"/>
      <c r="G383" s="29"/>
      <c r="H383" s="29"/>
      <c r="I383" s="29"/>
      <c r="J383" s="29"/>
      <c r="K383" s="29"/>
      <c r="L383" s="30" t="str">
        <f aca="false">IF(A383="","",SUM(G383:K383))</f>
        <v/>
      </c>
      <c r="M383" s="31" t="str">
        <f aca="false">IF(A383="","",IF(F383=0,0,L383/F383))</f>
        <v/>
      </c>
      <c r="N383" s="5" t="str">
        <f aca="false">IF(A383="","",CHOOSE(WEEKDAY(A383,2),"月","火","水","木","金","土","日"))</f>
        <v/>
      </c>
      <c r="O383" s="5" t="str">
        <f aca="false">IF(B383="","",IF(HOUR(B383)&lt;6,"深夜(0-5時)",IF(HOUR(B383)&lt;11,"朝(6-10時)",IF(HOUR(B383)&lt;15,"昼(11-14時)",IF(HOUR(B383)&lt;19,"夕方(15-18時)","夜(19-23時)")))))</f>
        <v/>
      </c>
      <c r="P383" s="32" t="str">
        <f aca="false">IF(M383="","",M383+ROW()/1000000000)</f>
        <v/>
      </c>
    </row>
    <row r="384" customFormat="false" ht="15" hidden="false" customHeight="false" outlineLevel="0" collapsed="false">
      <c r="A384" s="25"/>
      <c r="B384" s="26"/>
      <c r="C384" s="27"/>
      <c r="D384" s="28"/>
      <c r="E384" s="28"/>
      <c r="F384" s="29"/>
      <c r="G384" s="29"/>
      <c r="H384" s="29"/>
      <c r="I384" s="29"/>
      <c r="J384" s="29"/>
      <c r="K384" s="29"/>
      <c r="L384" s="30" t="str">
        <f aca="false">IF(A384="","",SUM(G384:K384))</f>
        <v/>
      </c>
      <c r="M384" s="31" t="str">
        <f aca="false">IF(A384="","",IF(F384=0,0,L384/F384))</f>
        <v/>
      </c>
      <c r="N384" s="5" t="str">
        <f aca="false">IF(A384="","",CHOOSE(WEEKDAY(A384,2),"月","火","水","木","金","土","日"))</f>
        <v/>
      </c>
      <c r="O384" s="5" t="str">
        <f aca="false">IF(B384="","",IF(HOUR(B384)&lt;6,"深夜(0-5時)",IF(HOUR(B384)&lt;11,"朝(6-10時)",IF(HOUR(B384)&lt;15,"昼(11-14時)",IF(HOUR(B384)&lt;19,"夕方(15-18時)","夜(19-23時)")))))</f>
        <v/>
      </c>
      <c r="P384" s="32" t="str">
        <f aca="false">IF(M384="","",M384+ROW()/1000000000)</f>
        <v/>
      </c>
    </row>
    <row r="385" customFormat="false" ht="15" hidden="false" customHeight="false" outlineLevel="0" collapsed="false">
      <c r="A385" s="25"/>
      <c r="B385" s="26"/>
      <c r="C385" s="27"/>
      <c r="D385" s="28"/>
      <c r="E385" s="28"/>
      <c r="F385" s="29"/>
      <c r="G385" s="29"/>
      <c r="H385" s="29"/>
      <c r="I385" s="29"/>
      <c r="J385" s="29"/>
      <c r="K385" s="29"/>
      <c r="L385" s="30" t="str">
        <f aca="false">IF(A385="","",SUM(G385:K385))</f>
        <v/>
      </c>
      <c r="M385" s="31" t="str">
        <f aca="false">IF(A385="","",IF(F385=0,0,L385/F385))</f>
        <v/>
      </c>
      <c r="N385" s="5" t="str">
        <f aca="false">IF(A385="","",CHOOSE(WEEKDAY(A385,2),"月","火","水","木","金","土","日"))</f>
        <v/>
      </c>
      <c r="O385" s="5" t="str">
        <f aca="false">IF(B385="","",IF(HOUR(B385)&lt;6,"深夜(0-5時)",IF(HOUR(B385)&lt;11,"朝(6-10時)",IF(HOUR(B385)&lt;15,"昼(11-14時)",IF(HOUR(B385)&lt;19,"夕方(15-18時)","夜(19-23時)")))))</f>
        <v/>
      </c>
      <c r="P385" s="32" t="str">
        <f aca="false">IF(M385="","",M385+ROW()/1000000000)</f>
        <v/>
      </c>
    </row>
    <row r="386" customFormat="false" ht="15" hidden="false" customHeight="false" outlineLevel="0" collapsed="false">
      <c r="A386" s="25"/>
      <c r="B386" s="26"/>
      <c r="C386" s="27"/>
      <c r="D386" s="28"/>
      <c r="E386" s="28"/>
      <c r="F386" s="29"/>
      <c r="G386" s="29"/>
      <c r="H386" s="29"/>
      <c r="I386" s="29"/>
      <c r="J386" s="29"/>
      <c r="K386" s="29"/>
      <c r="L386" s="30" t="str">
        <f aca="false">IF(A386="","",SUM(G386:K386))</f>
        <v/>
      </c>
      <c r="M386" s="31" t="str">
        <f aca="false">IF(A386="","",IF(F386=0,0,L386/F386))</f>
        <v/>
      </c>
      <c r="N386" s="5" t="str">
        <f aca="false">IF(A386="","",CHOOSE(WEEKDAY(A386,2),"月","火","水","木","金","土","日"))</f>
        <v/>
      </c>
      <c r="O386" s="5" t="str">
        <f aca="false">IF(B386="","",IF(HOUR(B386)&lt;6,"深夜(0-5時)",IF(HOUR(B386)&lt;11,"朝(6-10時)",IF(HOUR(B386)&lt;15,"昼(11-14時)",IF(HOUR(B386)&lt;19,"夕方(15-18時)","夜(19-23時)")))))</f>
        <v/>
      </c>
      <c r="P386" s="32" t="str">
        <f aca="false">IF(M386="","",M386+ROW()/1000000000)</f>
        <v/>
      </c>
    </row>
    <row r="387" customFormat="false" ht="15" hidden="false" customHeight="false" outlineLevel="0" collapsed="false">
      <c r="A387" s="25"/>
      <c r="B387" s="26"/>
      <c r="C387" s="27"/>
      <c r="D387" s="28"/>
      <c r="E387" s="28"/>
      <c r="F387" s="29"/>
      <c r="G387" s="29"/>
      <c r="H387" s="29"/>
      <c r="I387" s="29"/>
      <c r="J387" s="29"/>
      <c r="K387" s="29"/>
      <c r="L387" s="30" t="str">
        <f aca="false">IF(A387="","",SUM(G387:K387))</f>
        <v/>
      </c>
      <c r="M387" s="31" t="str">
        <f aca="false">IF(A387="","",IF(F387=0,0,L387/F387))</f>
        <v/>
      </c>
      <c r="N387" s="5" t="str">
        <f aca="false">IF(A387="","",CHOOSE(WEEKDAY(A387,2),"月","火","水","木","金","土","日"))</f>
        <v/>
      </c>
      <c r="O387" s="5" t="str">
        <f aca="false">IF(B387="","",IF(HOUR(B387)&lt;6,"深夜(0-5時)",IF(HOUR(B387)&lt;11,"朝(6-10時)",IF(HOUR(B387)&lt;15,"昼(11-14時)",IF(HOUR(B387)&lt;19,"夕方(15-18時)","夜(19-23時)")))))</f>
        <v/>
      </c>
      <c r="P387" s="32" t="str">
        <f aca="false">IF(M387="","",M387+ROW()/1000000000)</f>
        <v/>
      </c>
    </row>
    <row r="388" customFormat="false" ht="15" hidden="false" customHeight="false" outlineLevel="0" collapsed="false">
      <c r="A388" s="25"/>
      <c r="B388" s="26"/>
      <c r="C388" s="27"/>
      <c r="D388" s="28"/>
      <c r="E388" s="28"/>
      <c r="F388" s="29"/>
      <c r="G388" s="29"/>
      <c r="H388" s="29"/>
      <c r="I388" s="29"/>
      <c r="J388" s="29"/>
      <c r="K388" s="29"/>
      <c r="L388" s="30" t="str">
        <f aca="false">IF(A388="","",SUM(G388:K388))</f>
        <v/>
      </c>
      <c r="M388" s="31" t="str">
        <f aca="false">IF(A388="","",IF(F388=0,0,L388/F388))</f>
        <v/>
      </c>
      <c r="N388" s="5" t="str">
        <f aca="false">IF(A388="","",CHOOSE(WEEKDAY(A388,2),"月","火","水","木","金","土","日"))</f>
        <v/>
      </c>
      <c r="O388" s="5" t="str">
        <f aca="false">IF(B388="","",IF(HOUR(B388)&lt;6,"深夜(0-5時)",IF(HOUR(B388)&lt;11,"朝(6-10時)",IF(HOUR(B388)&lt;15,"昼(11-14時)",IF(HOUR(B388)&lt;19,"夕方(15-18時)","夜(19-23時)")))))</f>
        <v/>
      </c>
      <c r="P388" s="32" t="str">
        <f aca="false">IF(M388="","",M388+ROW()/1000000000)</f>
        <v/>
      </c>
    </row>
    <row r="389" customFormat="false" ht="15" hidden="false" customHeight="false" outlineLevel="0" collapsed="false">
      <c r="A389" s="25"/>
      <c r="B389" s="26"/>
      <c r="C389" s="27"/>
      <c r="D389" s="28"/>
      <c r="E389" s="28"/>
      <c r="F389" s="29"/>
      <c r="G389" s="29"/>
      <c r="H389" s="29"/>
      <c r="I389" s="29"/>
      <c r="J389" s="29"/>
      <c r="K389" s="29"/>
      <c r="L389" s="30" t="str">
        <f aca="false">IF(A389="","",SUM(G389:K389))</f>
        <v/>
      </c>
      <c r="M389" s="31" t="str">
        <f aca="false">IF(A389="","",IF(F389=0,0,L389/F389))</f>
        <v/>
      </c>
      <c r="N389" s="5" t="str">
        <f aca="false">IF(A389="","",CHOOSE(WEEKDAY(A389,2),"月","火","水","木","金","土","日"))</f>
        <v/>
      </c>
      <c r="O389" s="5" t="str">
        <f aca="false">IF(B389="","",IF(HOUR(B389)&lt;6,"深夜(0-5時)",IF(HOUR(B389)&lt;11,"朝(6-10時)",IF(HOUR(B389)&lt;15,"昼(11-14時)",IF(HOUR(B389)&lt;19,"夕方(15-18時)","夜(19-23時)")))))</f>
        <v/>
      </c>
      <c r="P389" s="32" t="str">
        <f aca="false">IF(M389="","",M389+ROW()/1000000000)</f>
        <v/>
      </c>
    </row>
    <row r="390" customFormat="false" ht="15" hidden="false" customHeight="false" outlineLevel="0" collapsed="false">
      <c r="A390" s="25"/>
      <c r="B390" s="26"/>
      <c r="C390" s="27"/>
      <c r="D390" s="28"/>
      <c r="E390" s="28"/>
      <c r="F390" s="29"/>
      <c r="G390" s="29"/>
      <c r="H390" s="29"/>
      <c r="I390" s="29"/>
      <c r="J390" s="29"/>
      <c r="K390" s="29"/>
      <c r="L390" s="30" t="str">
        <f aca="false">IF(A390="","",SUM(G390:K390))</f>
        <v/>
      </c>
      <c r="M390" s="31" t="str">
        <f aca="false">IF(A390="","",IF(F390=0,0,L390/F390))</f>
        <v/>
      </c>
      <c r="N390" s="5" t="str">
        <f aca="false">IF(A390="","",CHOOSE(WEEKDAY(A390,2),"月","火","水","木","金","土","日"))</f>
        <v/>
      </c>
      <c r="O390" s="5" t="str">
        <f aca="false">IF(B390="","",IF(HOUR(B390)&lt;6,"深夜(0-5時)",IF(HOUR(B390)&lt;11,"朝(6-10時)",IF(HOUR(B390)&lt;15,"昼(11-14時)",IF(HOUR(B390)&lt;19,"夕方(15-18時)","夜(19-23時)")))))</f>
        <v/>
      </c>
      <c r="P390" s="32" t="str">
        <f aca="false">IF(M390="","",M390+ROW()/1000000000)</f>
        <v/>
      </c>
    </row>
    <row r="391" customFormat="false" ht="15" hidden="false" customHeight="false" outlineLevel="0" collapsed="false">
      <c r="A391" s="25"/>
      <c r="B391" s="26"/>
      <c r="C391" s="27"/>
      <c r="D391" s="28"/>
      <c r="E391" s="28"/>
      <c r="F391" s="29"/>
      <c r="G391" s="29"/>
      <c r="H391" s="29"/>
      <c r="I391" s="29"/>
      <c r="J391" s="29"/>
      <c r="K391" s="29"/>
      <c r="L391" s="30" t="str">
        <f aca="false">IF(A391="","",SUM(G391:K391))</f>
        <v/>
      </c>
      <c r="M391" s="31" t="str">
        <f aca="false">IF(A391="","",IF(F391=0,0,L391/F391))</f>
        <v/>
      </c>
      <c r="N391" s="5" t="str">
        <f aca="false">IF(A391="","",CHOOSE(WEEKDAY(A391,2),"月","火","水","木","金","土","日"))</f>
        <v/>
      </c>
      <c r="O391" s="5" t="str">
        <f aca="false">IF(B391="","",IF(HOUR(B391)&lt;6,"深夜(0-5時)",IF(HOUR(B391)&lt;11,"朝(6-10時)",IF(HOUR(B391)&lt;15,"昼(11-14時)",IF(HOUR(B391)&lt;19,"夕方(15-18時)","夜(19-23時)")))))</f>
        <v/>
      </c>
      <c r="P391" s="32" t="str">
        <f aca="false">IF(M391="","",M391+ROW()/1000000000)</f>
        <v/>
      </c>
    </row>
    <row r="392" customFormat="false" ht="15" hidden="false" customHeight="false" outlineLevel="0" collapsed="false">
      <c r="A392" s="25"/>
      <c r="B392" s="26"/>
      <c r="C392" s="27"/>
      <c r="D392" s="28"/>
      <c r="E392" s="28"/>
      <c r="F392" s="29"/>
      <c r="G392" s="29"/>
      <c r="H392" s="29"/>
      <c r="I392" s="29"/>
      <c r="J392" s="29"/>
      <c r="K392" s="29"/>
      <c r="L392" s="30" t="str">
        <f aca="false">IF(A392="","",SUM(G392:K392))</f>
        <v/>
      </c>
      <c r="M392" s="31" t="str">
        <f aca="false">IF(A392="","",IF(F392=0,0,L392/F392))</f>
        <v/>
      </c>
      <c r="N392" s="5" t="str">
        <f aca="false">IF(A392="","",CHOOSE(WEEKDAY(A392,2),"月","火","水","木","金","土","日"))</f>
        <v/>
      </c>
      <c r="O392" s="5" t="str">
        <f aca="false">IF(B392="","",IF(HOUR(B392)&lt;6,"深夜(0-5時)",IF(HOUR(B392)&lt;11,"朝(6-10時)",IF(HOUR(B392)&lt;15,"昼(11-14時)",IF(HOUR(B392)&lt;19,"夕方(15-18時)","夜(19-23時)")))))</f>
        <v/>
      </c>
      <c r="P392" s="32" t="str">
        <f aca="false">IF(M392="","",M392+ROW()/1000000000)</f>
        <v/>
      </c>
    </row>
    <row r="393" customFormat="false" ht="15" hidden="false" customHeight="false" outlineLevel="0" collapsed="false">
      <c r="A393" s="25"/>
      <c r="B393" s="26"/>
      <c r="C393" s="27"/>
      <c r="D393" s="28"/>
      <c r="E393" s="28"/>
      <c r="F393" s="29"/>
      <c r="G393" s="29"/>
      <c r="H393" s="29"/>
      <c r="I393" s="29"/>
      <c r="J393" s="29"/>
      <c r="K393" s="29"/>
      <c r="L393" s="30" t="str">
        <f aca="false">IF(A393="","",SUM(G393:K393))</f>
        <v/>
      </c>
      <c r="M393" s="31" t="str">
        <f aca="false">IF(A393="","",IF(F393=0,0,L393/F393))</f>
        <v/>
      </c>
      <c r="N393" s="5" t="str">
        <f aca="false">IF(A393="","",CHOOSE(WEEKDAY(A393,2),"月","火","水","木","金","土","日"))</f>
        <v/>
      </c>
      <c r="O393" s="5" t="str">
        <f aca="false">IF(B393="","",IF(HOUR(B393)&lt;6,"深夜(0-5時)",IF(HOUR(B393)&lt;11,"朝(6-10時)",IF(HOUR(B393)&lt;15,"昼(11-14時)",IF(HOUR(B393)&lt;19,"夕方(15-18時)","夜(19-23時)")))))</f>
        <v/>
      </c>
      <c r="P393" s="32" t="str">
        <f aca="false">IF(M393="","",M393+ROW()/1000000000)</f>
        <v/>
      </c>
    </row>
    <row r="394" customFormat="false" ht="15" hidden="false" customHeight="false" outlineLevel="0" collapsed="false">
      <c r="A394" s="25"/>
      <c r="B394" s="26"/>
      <c r="C394" s="27"/>
      <c r="D394" s="28"/>
      <c r="E394" s="28"/>
      <c r="F394" s="29"/>
      <c r="G394" s="29"/>
      <c r="H394" s="29"/>
      <c r="I394" s="29"/>
      <c r="J394" s="29"/>
      <c r="K394" s="29"/>
      <c r="L394" s="30" t="str">
        <f aca="false">IF(A394="","",SUM(G394:K394))</f>
        <v/>
      </c>
      <c r="M394" s="31" t="str">
        <f aca="false">IF(A394="","",IF(F394=0,0,L394/F394))</f>
        <v/>
      </c>
      <c r="N394" s="5" t="str">
        <f aca="false">IF(A394="","",CHOOSE(WEEKDAY(A394,2),"月","火","水","木","金","土","日"))</f>
        <v/>
      </c>
      <c r="O394" s="5" t="str">
        <f aca="false">IF(B394="","",IF(HOUR(B394)&lt;6,"深夜(0-5時)",IF(HOUR(B394)&lt;11,"朝(6-10時)",IF(HOUR(B394)&lt;15,"昼(11-14時)",IF(HOUR(B394)&lt;19,"夕方(15-18時)","夜(19-23時)")))))</f>
        <v/>
      </c>
      <c r="P394" s="32" t="str">
        <f aca="false">IF(M394="","",M394+ROW()/1000000000)</f>
        <v/>
      </c>
    </row>
    <row r="395" customFormat="false" ht="15" hidden="false" customHeight="false" outlineLevel="0" collapsed="false">
      <c r="A395" s="25"/>
      <c r="B395" s="26"/>
      <c r="C395" s="27"/>
      <c r="D395" s="28"/>
      <c r="E395" s="28"/>
      <c r="F395" s="29"/>
      <c r="G395" s="29"/>
      <c r="H395" s="29"/>
      <c r="I395" s="29"/>
      <c r="J395" s="29"/>
      <c r="K395" s="29"/>
      <c r="L395" s="30" t="str">
        <f aca="false">IF(A395="","",SUM(G395:K395))</f>
        <v/>
      </c>
      <c r="M395" s="31" t="str">
        <f aca="false">IF(A395="","",IF(F395=0,0,L395/F395))</f>
        <v/>
      </c>
      <c r="N395" s="5" t="str">
        <f aca="false">IF(A395="","",CHOOSE(WEEKDAY(A395,2),"月","火","水","木","金","土","日"))</f>
        <v/>
      </c>
      <c r="O395" s="5" t="str">
        <f aca="false">IF(B395="","",IF(HOUR(B395)&lt;6,"深夜(0-5時)",IF(HOUR(B395)&lt;11,"朝(6-10時)",IF(HOUR(B395)&lt;15,"昼(11-14時)",IF(HOUR(B395)&lt;19,"夕方(15-18時)","夜(19-23時)")))))</f>
        <v/>
      </c>
      <c r="P395" s="32" t="str">
        <f aca="false">IF(M395="","",M395+ROW()/1000000000)</f>
        <v/>
      </c>
    </row>
    <row r="396" customFormat="false" ht="15" hidden="false" customHeight="false" outlineLevel="0" collapsed="false">
      <c r="A396" s="25"/>
      <c r="B396" s="26"/>
      <c r="C396" s="27"/>
      <c r="D396" s="28"/>
      <c r="E396" s="28"/>
      <c r="F396" s="29"/>
      <c r="G396" s="29"/>
      <c r="H396" s="29"/>
      <c r="I396" s="29"/>
      <c r="J396" s="29"/>
      <c r="K396" s="29"/>
      <c r="L396" s="30" t="str">
        <f aca="false">IF(A396="","",SUM(G396:K396))</f>
        <v/>
      </c>
      <c r="M396" s="31" t="str">
        <f aca="false">IF(A396="","",IF(F396=0,0,L396/F396))</f>
        <v/>
      </c>
      <c r="N396" s="5" t="str">
        <f aca="false">IF(A396="","",CHOOSE(WEEKDAY(A396,2),"月","火","水","木","金","土","日"))</f>
        <v/>
      </c>
      <c r="O396" s="5" t="str">
        <f aca="false">IF(B396="","",IF(HOUR(B396)&lt;6,"深夜(0-5時)",IF(HOUR(B396)&lt;11,"朝(6-10時)",IF(HOUR(B396)&lt;15,"昼(11-14時)",IF(HOUR(B396)&lt;19,"夕方(15-18時)","夜(19-23時)")))))</f>
        <v/>
      </c>
      <c r="P396" s="32" t="str">
        <f aca="false">IF(M396="","",M396+ROW()/1000000000)</f>
        <v/>
      </c>
    </row>
    <row r="397" customFormat="false" ht="15" hidden="false" customHeight="false" outlineLevel="0" collapsed="false">
      <c r="A397" s="25"/>
      <c r="B397" s="26"/>
      <c r="C397" s="27"/>
      <c r="D397" s="28"/>
      <c r="E397" s="28"/>
      <c r="F397" s="29"/>
      <c r="G397" s="29"/>
      <c r="H397" s="29"/>
      <c r="I397" s="29"/>
      <c r="J397" s="29"/>
      <c r="K397" s="29"/>
      <c r="L397" s="30" t="str">
        <f aca="false">IF(A397="","",SUM(G397:K397))</f>
        <v/>
      </c>
      <c r="M397" s="31" t="str">
        <f aca="false">IF(A397="","",IF(F397=0,0,L397/F397))</f>
        <v/>
      </c>
      <c r="N397" s="5" t="str">
        <f aca="false">IF(A397="","",CHOOSE(WEEKDAY(A397,2),"月","火","水","木","金","土","日"))</f>
        <v/>
      </c>
      <c r="O397" s="5" t="str">
        <f aca="false">IF(B397="","",IF(HOUR(B397)&lt;6,"深夜(0-5時)",IF(HOUR(B397)&lt;11,"朝(6-10時)",IF(HOUR(B397)&lt;15,"昼(11-14時)",IF(HOUR(B397)&lt;19,"夕方(15-18時)","夜(19-23時)")))))</f>
        <v/>
      </c>
      <c r="P397" s="32" t="str">
        <f aca="false">IF(M397="","",M397+ROW()/1000000000)</f>
        <v/>
      </c>
    </row>
    <row r="398" customFormat="false" ht="15" hidden="false" customHeight="false" outlineLevel="0" collapsed="false">
      <c r="A398" s="25"/>
      <c r="B398" s="26"/>
      <c r="C398" s="27"/>
      <c r="D398" s="28"/>
      <c r="E398" s="28"/>
      <c r="F398" s="29"/>
      <c r="G398" s="29"/>
      <c r="H398" s="29"/>
      <c r="I398" s="29"/>
      <c r="J398" s="29"/>
      <c r="K398" s="29"/>
      <c r="L398" s="30" t="str">
        <f aca="false">IF(A398="","",SUM(G398:K398))</f>
        <v/>
      </c>
      <c r="M398" s="31" t="str">
        <f aca="false">IF(A398="","",IF(F398=0,0,L398/F398))</f>
        <v/>
      </c>
      <c r="N398" s="5" t="str">
        <f aca="false">IF(A398="","",CHOOSE(WEEKDAY(A398,2),"月","火","水","木","金","土","日"))</f>
        <v/>
      </c>
      <c r="O398" s="5" t="str">
        <f aca="false">IF(B398="","",IF(HOUR(B398)&lt;6,"深夜(0-5時)",IF(HOUR(B398)&lt;11,"朝(6-10時)",IF(HOUR(B398)&lt;15,"昼(11-14時)",IF(HOUR(B398)&lt;19,"夕方(15-18時)","夜(19-23時)")))))</f>
        <v/>
      </c>
      <c r="P398" s="32" t="str">
        <f aca="false">IF(M398="","",M398+ROW()/1000000000)</f>
        <v/>
      </c>
    </row>
    <row r="399" customFormat="false" ht="15" hidden="false" customHeight="false" outlineLevel="0" collapsed="false">
      <c r="A399" s="25"/>
      <c r="B399" s="26"/>
      <c r="C399" s="27"/>
      <c r="D399" s="28"/>
      <c r="E399" s="28"/>
      <c r="F399" s="29"/>
      <c r="G399" s="29"/>
      <c r="H399" s="29"/>
      <c r="I399" s="29"/>
      <c r="J399" s="29"/>
      <c r="K399" s="29"/>
      <c r="L399" s="30" t="str">
        <f aca="false">IF(A399="","",SUM(G399:K399))</f>
        <v/>
      </c>
      <c r="M399" s="31" t="str">
        <f aca="false">IF(A399="","",IF(F399=0,0,L399/F399))</f>
        <v/>
      </c>
      <c r="N399" s="5" t="str">
        <f aca="false">IF(A399="","",CHOOSE(WEEKDAY(A399,2),"月","火","水","木","金","土","日"))</f>
        <v/>
      </c>
      <c r="O399" s="5" t="str">
        <f aca="false">IF(B399="","",IF(HOUR(B399)&lt;6,"深夜(0-5時)",IF(HOUR(B399)&lt;11,"朝(6-10時)",IF(HOUR(B399)&lt;15,"昼(11-14時)",IF(HOUR(B399)&lt;19,"夕方(15-18時)","夜(19-23時)")))))</f>
        <v/>
      </c>
      <c r="P399" s="32" t="str">
        <f aca="false">IF(M399="","",M399+ROW()/1000000000)</f>
        <v/>
      </c>
    </row>
    <row r="400" customFormat="false" ht="15" hidden="false" customHeight="false" outlineLevel="0" collapsed="false">
      <c r="A400" s="25"/>
      <c r="B400" s="26"/>
      <c r="C400" s="27"/>
      <c r="D400" s="28"/>
      <c r="E400" s="28"/>
      <c r="F400" s="29"/>
      <c r="G400" s="29"/>
      <c r="H400" s="29"/>
      <c r="I400" s="29"/>
      <c r="J400" s="29"/>
      <c r="K400" s="29"/>
      <c r="L400" s="30" t="str">
        <f aca="false">IF(A400="","",SUM(G400:K400))</f>
        <v/>
      </c>
      <c r="M400" s="31" t="str">
        <f aca="false">IF(A400="","",IF(F400=0,0,L400/F400))</f>
        <v/>
      </c>
      <c r="N400" s="5" t="str">
        <f aca="false">IF(A400="","",CHOOSE(WEEKDAY(A400,2),"月","火","水","木","金","土","日"))</f>
        <v/>
      </c>
      <c r="O400" s="5" t="str">
        <f aca="false">IF(B400="","",IF(HOUR(B400)&lt;6,"深夜(0-5時)",IF(HOUR(B400)&lt;11,"朝(6-10時)",IF(HOUR(B400)&lt;15,"昼(11-14時)",IF(HOUR(B400)&lt;19,"夕方(15-18時)","夜(19-23時)")))))</f>
        <v/>
      </c>
      <c r="P400" s="32" t="str">
        <f aca="false">IF(M400="","",M400+ROW()/1000000000)</f>
        <v/>
      </c>
    </row>
    <row r="401" customFormat="false" ht="15" hidden="false" customHeight="false" outlineLevel="0" collapsed="false">
      <c r="A401" s="25"/>
      <c r="B401" s="26"/>
      <c r="C401" s="27"/>
      <c r="D401" s="28"/>
      <c r="E401" s="28"/>
      <c r="F401" s="29"/>
      <c r="G401" s="29"/>
      <c r="H401" s="29"/>
      <c r="I401" s="29"/>
      <c r="J401" s="29"/>
      <c r="K401" s="29"/>
      <c r="L401" s="30" t="str">
        <f aca="false">IF(A401="","",SUM(G401:K401))</f>
        <v/>
      </c>
      <c r="M401" s="31" t="str">
        <f aca="false">IF(A401="","",IF(F401=0,0,L401/F401))</f>
        <v/>
      </c>
      <c r="N401" s="5" t="str">
        <f aca="false">IF(A401="","",CHOOSE(WEEKDAY(A401,2),"月","火","水","木","金","土","日"))</f>
        <v/>
      </c>
      <c r="O401" s="5" t="str">
        <f aca="false">IF(B401="","",IF(HOUR(B401)&lt;6,"深夜(0-5時)",IF(HOUR(B401)&lt;11,"朝(6-10時)",IF(HOUR(B401)&lt;15,"昼(11-14時)",IF(HOUR(B401)&lt;19,"夕方(15-18時)","夜(19-23時)")))))</f>
        <v/>
      </c>
      <c r="P401" s="32" t="str">
        <f aca="false">IF(M401="","",M401+ROW()/1000000000)</f>
        <v/>
      </c>
    </row>
    <row r="402" customFormat="false" ht="15" hidden="false" customHeight="false" outlineLevel="0" collapsed="false">
      <c r="A402" s="25"/>
      <c r="B402" s="26"/>
      <c r="C402" s="27"/>
      <c r="D402" s="28"/>
      <c r="E402" s="28"/>
      <c r="F402" s="29"/>
      <c r="G402" s="29"/>
      <c r="H402" s="29"/>
      <c r="I402" s="29"/>
      <c r="J402" s="29"/>
      <c r="K402" s="29"/>
      <c r="L402" s="30" t="str">
        <f aca="false">IF(A402="","",SUM(G402:K402))</f>
        <v/>
      </c>
      <c r="M402" s="31" t="str">
        <f aca="false">IF(A402="","",IF(F402=0,0,L402/F402))</f>
        <v/>
      </c>
      <c r="N402" s="5" t="str">
        <f aca="false">IF(A402="","",CHOOSE(WEEKDAY(A402,2),"月","火","水","木","金","土","日"))</f>
        <v/>
      </c>
      <c r="O402" s="5" t="str">
        <f aca="false">IF(B402="","",IF(HOUR(B402)&lt;6,"深夜(0-5時)",IF(HOUR(B402)&lt;11,"朝(6-10時)",IF(HOUR(B402)&lt;15,"昼(11-14時)",IF(HOUR(B402)&lt;19,"夕方(15-18時)","夜(19-23時)")))))</f>
        <v/>
      </c>
      <c r="P402" s="32" t="str">
        <f aca="false">IF(M402="","",M402+ROW()/1000000000)</f>
        <v/>
      </c>
    </row>
    <row r="403" customFormat="false" ht="15" hidden="false" customHeight="false" outlineLevel="0" collapsed="false">
      <c r="A403" s="25"/>
      <c r="B403" s="26"/>
      <c r="C403" s="27"/>
      <c r="D403" s="28"/>
      <c r="E403" s="28"/>
      <c r="F403" s="29"/>
      <c r="G403" s="29"/>
      <c r="H403" s="29"/>
      <c r="I403" s="29"/>
      <c r="J403" s="29"/>
      <c r="K403" s="29"/>
      <c r="L403" s="30" t="str">
        <f aca="false">IF(A403="","",SUM(G403:K403))</f>
        <v/>
      </c>
      <c r="M403" s="31" t="str">
        <f aca="false">IF(A403="","",IF(F403=0,0,L403/F403))</f>
        <v/>
      </c>
      <c r="N403" s="5" t="str">
        <f aca="false">IF(A403="","",CHOOSE(WEEKDAY(A403,2),"月","火","水","木","金","土","日"))</f>
        <v/>
      </c>
      <c r="O403" s="5" t="str">
        <f aca="false">IF(B403="","",IF(HOUR(B403)&lt;6,"深夜(0-5時)",IF(HOUR(B403)&lt;11,"朝(6-10時)",IF(HOUR(B403)&lt;15,"昼(11-14時)",IF(HOUR(B403)&lt;19,"夕方(15-18時)","夜(19-23時)")))))</f>
        <v/>
      </c>
      <c r="P403" s="32" t="str">
        <f aca="false">IF(M403="","",M403+ROW()/1000000000)</f>
        <v/>
      </c>
    </row>
    <row r="404" customFormat="false" ht="15" hidden="false" customHeight="false" outlineLevel="0" collapsed="false">
      <c r="A404" s="25"/>
      <c r="B404" s="26"/>
      <c r="C404" s="27"/>
      <c r="D404" s="28"/>
      <c r="E404" s="28"/>
      <c r="F404" s="29"/>
      <c r="G404" s="29"/>
      <c r="H404" s="29"/>
      <c r="I404" s="29"/>
      <c r="J404" s="29"/>
      <c r="K404" s="29"/>
      <c r="L404" s="30" t="str">
        <f aca="false">IF(A404="","",SUM(G404:K404))</f>
        <v/>
      </c>
      <c r="M404" s="31" t="str">
        <f aca="false">IF(A404="","",IF(F404=0,0,L404/F404))</f>
        <v/>
      </c>
      <c r="N404" s="5" t="str">
        <f aca="false">IF(A404="","",CHOOSE(WEEKDAY(A404,2),"月","火","水","木","金","土","日"))</f>
        <v/>
      </c>
      <c r="O404" s="5" t="str">
        <f aca="false">IF(B404="","",IF(HOUR(B404)&lt;6,"深夜(0-5時)",IF(HOUR(B404)&lt;11,"朝(6-10時)",IF(HOUR(B404)&lt;15,"昼(11-14時)",IF(HOUR(B404)&lt;19,"夕方(15-18時)","夜(19-23時)")))))</f>
        <v/>
      </c>
      <c r="P404" s="32" t="str">
        <f aca="false">IF(M404="","",M404+ROW()/1000000000)</f>
        <v/>
      </c>
    </row>
    <row r="405" customFormat="false" ht="15" hidden="false" customHeight="false" outlineLevel="0" collapsed="false">
      <c r="A405" s="25"/>
      <c r="B405" s="26"/>
      <c r="C405" s="27"/>
      <c r="D405" s="28"/>
      <c r="E405" s="28"/>
      <c r="F405" s="29"/>
      <c r="G405" s="29"/>
      <c r="H405" s="29"/>
      <c r="I405" s="29"/>
      <c r="J405" s="29"/>
      <c r="K405" s="29"/>
      <c r="L405" s="30" t="str">
        <f aca="false">IF(A405="","",SUM(G405:K405))</f>
        <v/>
      </c>
      <c r="M405" s="31" t="str">
        <f aca="false">IF(A405="","",IF(F405=0,0,L405/F405))</f>
        <v/>
      </c>
      <c r="N405" s="5" t="str">
        <f aca="false">IF(A405="","",CHOOSE(WEEKDAY(A405,2),"月","火","水","木","金","土","日"))</f>
        <v/>
      </c>
      <c r="O405" s="5" t="str">
        <f aca="false">IF(B405="","",IF(HOUR(B405)&lt;6,"深夜(0-5時)",IF(HOUR(B405)&lt;11,"朝(6-10時)",IF(HOUR(B405)&lt;15,"昼(11-14時)",IF(HOUR(B405)&lt;19,"夕方(15-18時)","夜(19-23時)")))))</f>
        <v/>
      </c>
      <c r="P405" s="32" t="str">
        <f aca="false">IF(M405="","",M405+ROW()/1000000000)</f>
        <v/>
      </c>
    </row>
    <row r="406" customFormat="false" ht="15" hidden="false" customHeight="false" outlineLevel="0" collapsed="false">
      <c r="A406" s="25"/>
      <c r="B406" s="26"/>
      <c r="C406" s="27"/>
      <c r="D406" s="28"/>
      <c r="E406" s="28"/>
      <c r="F406" s="29"/>
      <c r="G406" s="29"/>
      <c r="H406" s="29"/>
      <c r="I406" s="29"/>
      <c r="J406" s="29"/>
      <c r="K406" s="29"/>
      <c r="L406" s="30" t="str">
        <f aca="false">IF(A406="","",SUM(G406:K406))</f>
        <v/>
      </c>
      <c r="M406" s="31" t="str">
        <f aca="false">IF(A406="","",IF(F406=0,0,L406/F406))</f>
        <v/>
      </c>
      <c r="N406" s="5" t="str">
        <f aca="false">IF(A406="","",CHOOSE(WEEKDAY(A406,2),"月","火","水","木","金","土","日"))</f>
        <v/>
      </c>
      <c r="O406" s="5" t="str">
        <f aca="false">IF(B406="","",IF(HOUR(B406)&lt;6,"深夜(0-5時)",IF(HOUR(B406)&lt;11,"朝(6-10時)",IF(HOUR(B406)&lt;15,"昼(11-14時)",IF(HOUR(B406)&lt;19,"夕方(15-18時)","夜(19-23時)")))))</f>
        <v/>
      </c>
      <c r="P406" s="32" t="str">
        <f aca="false">IF(M406="","",M406+ROW()/1000000000)</f>
        <v/>
      </c>
    </row>
    <row r="407" customFormat="false" ht="15" hidden="false" customHeight="false" outlineLevel="0" collapsed="false">
      <c r="A407" s="25"/>
      <c r="B407" s="26"/>
      <c r="C407" s="27"/>
      <c r="D407" s="28"/>
      <c r="E407" s="28"/>
      <c r="F407" s="29"/>
      <c r="G407" s="29"/>
      <c r="H407" s="29"/>
      <c r="I407" s="29"/>
      <c r="J407" s="29"/>
      <c r="K407" s="29"/>
      <c r="L407" s="30" t="str">
        <f aca="false">IF(A407="","",SUM(G407:K407))</f>
        <v/>
      </c>
      <c r="M407" s="31" t="str">
        <f aca="false">IF(A407="","",IF(F407=0,0,L407/F407))</f>
        <v/>
      </c>
      <c r="N407" s="5" t="str">
        <f aca="false">IF(A407="","",CHOOSE(WEEKDAY(A407,2),"月","火","水","木","金","土","日"))</f>
        <v/>
      </c>
      <c r="O407" s="5" t="str">
        <f aca="false">IF(B407="","",IF(HOUR(B407)&lt;6,"深夜(0-5時)",IF(HOUR(B407)&lt;11,"朝(6-10時)",IF(HOUR(B407)&lt;15,"昼(11-14時)",IF(HOUR(B407)&lt;19,"夕方(15-18時)","夜(19-23時)")))))</f>
        <v/>
      </c>
      <c r="P407" s="32" t="str">
        <f aca="false">IF(M407="","",M407+ROW()/1000000000)</f>
        <v/>
      </c>
    </row>
    <row r="408" customFormat="false" ht="15" hidden="false" customHeight="false" outlineLevel="0" collapsed="false">
      <c r="A408" s="25"/>
      <c r="B408" s="26"/>
      <c r="C408" s="27"/>
      <c r="D408" s="28"/>
      <c r="E408" s="28"/>
      <c r="F408" s="29"/>
      <c r="G408" s="29"/>
      <c r="H408" s="29"/>
      <c r="I408" s="29"/>
      <c r="J408" s="29"/>
      <c r="K408" s="29"/>
      <c r="L408" s="30" t="str">
        <f aca="false">IF(A408="","",SUM(G408:K408))</f>
        <v/>
      </c>
      <c r="M408" s="31" t="str">
        <f aca="false">IF(A408="","",IF(F408=0,0,L408/F408))</f>
        <v/>
      </c>
      <c r="N408" s="5" t="str">
        <f aca="false">IF(A408="","",CHOOSE(WEEKDAY(A408,2),"月","火","水","木","金","土","日"))</f>
        <v/>
      </c>
      <c r="O408" s="5" t="str">
        <f aca="false">IF(B408="","",IF(HOUR(B408)&lt;6,"深夜(0-5時)",IF(HOUR(B408)&lt;11,"朝(6-10時)",IF(HOUR(B408)&lt;15,"昼(11-14時)",IF(HOUR(B408)&lt;19,"夕方(15-18時)","夜(19-23時)")))))</f>
        <v/>
      </c>
      <c r="P408" s="32" t="str">
        <f aca="false">IF(M408="","",M408+ROW()/1000000000)</f>
        <v/>
      </c>
    </row>
    <row r="409" customFormat="false" ht="15" hidden="false" customHeight="false" outlineLevel="0" collapsed="false">
      <c r="A409" s="25"/>
      <c r="B409" s="26"/>
      <c r="C409" s="27"/>
      <c r="D409" s="28"/>
      <c r="E409" s="28"/>
      <c r="F409" s="29"/>
      <c r="G409" s="29"/>
      <c r="H409" s="29"/>
      <c r="I409" s="29"/>
      <c r="J409" s="29"/>
      <c r="K409" s="29"/>
      <c r="L409" s="30" t="str">
        <f aca="false">IF(A409="","",SUM(G409:K409))</f>
        <v/>
      </c>
      <c r="M409" s="31" t="str">
        <f aca="false">IF(A409="","",IF(F409=0,0,L409/F409))</f>
        <v/>
      </c>
      <c r="N409" s="5" t="str">
        <f aca="false">IF(A409="","",CHOOSE(WEEKDAY(A409,2),"月","火","水","木","金","土","日"))</f>
        <v/>
      </c>
      <c r="O409" s="5" t="str">
        <f aca="false">IF(B409="","",IF(HOUR(B409)&lt;6,"深夜(0-5時)",IF(HOUR(B409)&lt;11,"朝(6-10時)",IF(HOUR(B409)&lt;15,"昼(11-14時)",IF(HOUR(B409)&lt;19,"夕方(15-18時)","夜(19-23時)")))))</f>
        <v/>
      </c>
      <c r="P409" s="32" t="str">
        <f aca="false">IF(M409="","",M409+ROW()/1000000000)</f>
        <v/>
      </c>
    </row>
    <row r="410" customFormat="false" ht="15" hidden="false" customHeight="false" outlineLevel="0" collapsed="false">
      <c r="A410" s="25"/>
      <c r="B410" s="26"/>
      <c r="C410" s="27"/>
      <c r="D410" s="28"/>
      <c r="E410" s="28"/>
      <c r="F410" s="29"/>
      <c r="G410" s="29"/>
      <c r="H410" s="29"/>
      <c r="I410" s="29"/>
      <c r="J410" s="29"/>
      <c r="K410" s="29"/>
      <c r="L410" s="30" t="str">
        <f aca="false">IF(A410="","",SUM(G410:K410))</f>
        <v/>
      </c>
      <c r="M410" s="31" t="str">
        <f aca="false">IF(A410="","",IF(F410=0,0,L410/F410))</f>
        <v/>
      </c>
      <c r="N410" s="5" t="str">
        <f aca="false">IF(A410="","",CHOOSE(WEEKDAY(A410,2),"月","火","水","木","金","土","日"))</f>
        <v/>
      </c>
      <c r="O410" s="5" t="str">
        <f aca="false">IF(B410="","",IF(HOUR(B410)&lt;6,"深夜(0-5時)",IF(HOUR(B410)&lt;11,"朝(6-10時)",IF(HOUR(B410)&lt;15,"昼(11-14時)",IF(HOUR(B410)&lt;19,"夕方(15-18時)","夜(19-23時)")))))</f>
        <v/>
      </c>
      <c r="P410" s="32" t="str">
        <f aca="false">IF(M410="","",M410+ROW()/1000000000)</f>
        <v/>
      </c>
    </row>
    <row r="411" customFormat="false" ht="15" hidden="false" customHeight="false" outlineLevel="0" collapsed="false">
      <c r="A411" s="25"/>
      <c r="B411" s="26"/>
      <c r="C411" s="27"/>
      <c r="D411" s="28"/>
      <c r="E411" s="28"/>
      <c r="F411" s="29"/>
      <c r="G411" s="29"/>
      <c r="H411" s="29"/>
      <c r="I411" s="29"/>
      <c r="J411" s="29"/>
      <c r="K411" s="29"/>
      <c r="L411" s="30" t="str">
        <f aca="false">IF(A411="","",SUM(G411:K411))</f>
        <v/>
      </c>
      <c r="M411" s="31" t="str">
        <f aca="false">IF(A411="","",IF(F411=0,0,L411/F411))</f>
        <v/>
      </c>
      <c r="N411" s="5" t="str">
        <f aca="false">IF(A411="","",CHOOSE(WEEKDAY(A411,2),"月","火","水","木","金","土","日"))</f>
        <v/>
      </c>
      <c r="O411" s="5" t="str">
        <f aca="false">IF(B411="","",IF(HOUR(B411)&lt;6,"深夜(0-5時)",IF(HOUR(B411)&lt;11,"朝(6-10時)",IF(HOUR(B411)&lt;15,"昼(11-14時)",IF(HOUR(B411)&lt;19,"夕方(15-18時)","夜(19-23時)")))))</f>
        <v/>
      </c>
      <c r="P411" s="32" t="str">
        <f aca="false">IF(M411="","",M411+ROW()/1000000000)</f>
        <v/>
      </c>
    </row>
    <row r="412" customFormat="false" ht="15" hidden="false" customHeight="false" outlineLevel="0" collapsed="false">
      <c r="A412" s="25"/>
      <c r="B412" s="26"/>
      <c r="C412" s="27"/>
      <c r="D412" s="28"/>
      <c r="E412" s="28"/>
      <c r="F412" s="29"/>
      <c r="G412" s="29"/>
      <c r="H412" s="29"/>
      <c r="I412" s="29"/>
      <c r="J412" s="29"/>
      <c r="K412" s="29"/>
      <c r="L412" s="30" t="str">
        <f aca="false">IF(A412="","",SUM(G412:K412))</f>
        <v/>
      </c>
      <c r="M412" s="31" t="str">
        <f aca="false">IF(A412="","",IF(F412=0,0,L412/F412))</f>
        <v/>
      </c>
      <c r="N412" s="5" t="str">
        <f aca="false">IF(A412="","",CHOOSE(WEEKDAY(A412,2),"月","火","水","木","金","土","日"))</f>
        <v/>
      </c>
      <c r="O412" s="5" t="str">
        <f aca="false">IF(B412="","",IF(HOUR(B412)&lt;6,"深夜(0-5時)",IF(HOUR(B412)&lt;11,"朝(6-10時)",IF(HOUR(B412)&lt;15,"昼(11-14時)",IF(HOUR(B412)&lt;19,"夕方(15-18時)","夜(19-23時)")))))</f>
        <v/>
      </c>
      <c r="P412" s="32" t="str">
        <f aca="false">IF(M412="","",M412+ROW()/1000000000)</f>
        <v/>
      </c>
    </row>
    <row r="413" customFormat="false" ht="15" hidden="false" customHeight="false" outlineLevel="0" collapsed="false">
      <c r="A413" s="25"/>
      <c r="B413" s="26"/>
      <c r="C413" s="27"/>
      <c r="D413" s="28"/>
      <c r="E413" s="28"/>
      <c r="F413" s="29"/>
      <c r="G413" s="29"/>
      <c r="H413" s="29"/>
      <c r="I413" s="29"/>
      <c r="J413" s="29"/>
      <c r="K413" s="29"/>
      <c r="L413" s="30" t="str">
        <f aca="false">IF(A413="","",SUM(G413:K413))</f>
        <v/>
      </c>
      <c r="M413" s="31" t="str">
        <f aca="false">IF(A413="","",IF(F413=0,0,L413/F413))</f>
        <v/>
      </c>
      <c r="N413" s="5" t="str">
        <f aca="false">IF(A413="","",CHOOSE(WEEKDAY(A413,2),"月","火","水","木","金","土","日"))</f>
        <v/>
      </c>
      <c r="O413" s="5" t="str">
        <f aca="false">IF(B413="","",IF(HOUR(B413)&lt;6,"深夜(0-5時)",IF(HOUR(B413)&lt;11,"朝(6-10時)",IF(HOUR(B413)&lt;15,"昼(11-14時)",IF(HOUR(B413)&lt;19,"夕方(15-18時)","夜(19-23時)")))))</f>
        <v/>
      </c>
      <c r="P413" s="32" t="str">
        <f aca="false">IF(M413="","",M413+ROW()/1000000000)</f>
        <v/>
      </c>
    </row>
    <row r="414" customFormat="false" ht="15" hidden="false" customHeight="false" outlineLevel="0" collapsed="false">
      <c r="A414" s="25"/>
      <c r="B414" s="26"/>
      <c r="C414" s="27"/>
      <c r="D414" s="28"/>
      <c r="E414" s="28"/>
      <c r="F414" s="29"/>
      <c r="G414" s="29"/>
      <c r="H414" s="29"/>
      <c r="I414" s="29"/>
      <c r="J414" s="29"/>
      <c r="K414" s="29"/>
      <c r="L414" s="30" t="str">
        <f aca="false">IF(A414="","",SUM(G414:K414))</f>
        <v/>
      </c>
      <c r="M414" s="31" t="str">
        <f aca="false">IF(A414="","",IF(F414=0,0,L414/F414))</f>
        <v/>
      </c>
      <c r="N414" s="5" t="str">
        <f aca="false">IF(A414="","",CHOOSE(WEEKDAY(A414,2),"月","火","水","木","金","土","日"))</f>
        <v/>
      </c>
      <c r="O414" s="5" t="str">
        <f aca="false">IF(B414="","",IF(HOUR(B414)&lt;6,"深夜(0-5時)",IF(HOUR(B414)&lt;11,"朝(6-10時)",IF(HOUR(B414)&lt;15,"昼(11-14時)",IF(HOUR(B414)&lt;19,"夕方(15-18時)","夜(19-23時)")))))</f>
        <v/>
      </c>
      <c r="P414" s="32" t="str">
        <f aca="false">IF(M414="","",M414+ROW()/1000000000)</f>
        <v/>
      </c>
    </row>
    <row r="415" customFormat="false" ht="15" hidden="false" customHeight="false" outlineLevel="0" collapsed="false">
      <c r="A415" s="25"/>
      <c r="B415" s="26"/>
      <c r="C415" s="27"/>
      <c r="D415" s="28"/>
      <c r="E415" s="28"/>
      <c r="F415" s="29"/>
      <c r="G415" s="29"/>
      <c r="H415" s="29"/>
      <c r="I415" s="29"/>
      <c r="J415" s="29"/>
      <c r="K415" s="29"/>
      <c r="L415" s="30" t="str">
        <f aca="false">IF(A415="","",SUM(G415:K415))</f>
        <v/>
      </c>
      <c r="M415" s="31" t="str">
        <f aca="false">IF(A415="","",IF(F415=0,0,L415/F415))</f>
        <v/>
      </c>
      <c r="N415" s="5" t="str">
        <f aca="false">IF(A415="","",CHOOSE(WEEKDAY(A415,2),"月","火","水","木","金","土","日"))</f>
        <v/>
      </c>
      <c r="O415" s="5" t="str">
        <f aca="false">IF(B415="","",IF(HOUR(B415)&lt;6,"深夜(0-5時)",IF(HOUR(B415)&lt;11,"朝(6-10時)",IF(HOUR(B415)&lt;15,"昼(11-14時)",IF(HOUR(B415)&lt;19,"夕方(15-18時)","夜(19-23時)")))))</f>
        <v/>
      </c>
      <c r="P415" s="32" t="str">
        <f aca="false">IF(M415="","",M415+ROW()/1000000000)</f>
        <v/>
      </c>
    </row>
    <row r="416" customFormat="false" ht="15" hidden="false" customHeight="false" outlineLevel="0" collapsed="false">
      <c r="A416" s="25"/>
      <c r="B416" s="26"/>
      <c r="C416" s="27"/>
      <c r="D416" s="28"/>
      <c r="E416" s="28"/>
      <c r="F416" s="29"/>
      <c r="G416" s="29"/>
      <c r="H416" s="29"/>
      <c r="I416" s="29"/>
      <c r="J416" s="29"/>
      <c r="K416" s="29"/>
      <c r="L416" s="30" t="str">
        <f aca="false">IF(A416="","",SUM(G416:K416))</f>
        <v/>
      </c>
      <c r="M416" s="31" t="str">
        <f aca="false">IF(A416="","",IF(F416=0,0,L416/F416))</f>
        <v/>
      </c>
      <c r="N416" s="5" t="str">
        <f aca="false">IF(A416="","",CHOOSE(WEEKDAY(A416,2),"月","火","水","木","金","土","日"))</f>
        <v/>
      </c>
      <c r="O416" s="5" t="str">
        <f aca="false">IF(B416="","",IF(HOUR(B416)&lt;6,"深夜(0-5時)",IF(HOUR(B416)&lt;11,"朝(6-10時)",IF(HOUR(B416)&lt;15,"昼(11-14時)",IF(HOUR(B416)&lt;19,"夕方(15-18時)","夜(19-23時)")))))</f>
        <v/>
      </c>
      <c r="P416" s="32" t="str">
        <f aca="false">IF(M416="","",M416+ROW()/1000000000)</f>
        <v/>
      </c>
    </row>
    <row r="417" customFormat="false" ht="15" hidden="false" customHeight="false" outlineLevel="0" collapsed="false">
      <c r="A417" s="25"/>
      <c r="B417" s="26"/>
      <c r="C417" s="27"/>
      <c r="D417" s="28"/>
      <c r="E417" s="28"/>
      <c r="F417" s="29"/>
      <c r="G417" s="29"/>
      <c r="H417" s="29"/>
      <c r="I417" s="29"/>
      <c r="J417" s="29"/>
      <c r="K417" s="29"/>
      <c r="L417" s="30" t="str">
        <f aca="false">IF(A417="","",SUM(G417:K417))</f>
        <v/>
      </c>
      <c r="M417" s="31" t="str">
        <f aca="false">IF(A417="","",IF(F417=0,0,L417/F417))</f>
        <v/>
      </c>
      <c r="N417" s="5" t="str">
        <f aca="false">IF(A417="","",CHOOSE(WEEKDAY(A417,2),"月","火","水","木","金","土","日"))</f>
        <v/>
      </c>
      <c r="O417" s="5" t="str">
        <f aca="false">IF(B417="","",IF(HOUR(B417)&lt;6,"深夜(0-5時)",IF(HOUR(B417)&lt;11,"朝(6-10時)",IF(HOUR(B417)&lt;15,"昼(11-14時)",IF(HOUR(B417)&lt;19,"夕方(15-18時)","夜(19-23時)")))))</f>
        <v/>
      </c>
      <c r="P417" s="32" t="str">
        <f aca="false">IF(M417="","",M417+ROW()/1000000000)</f>
        <v/>
      </c>
    </row>
    <row r="418" customFormat="false" ht="15" hidden="false" customHeight="false" outlineLevel="0" collapsed="false">
      <c r="A418" s="25"/>
      <c r="B418" s="26"/>
      <c r="C418" s="27"/>
      <c r="D418" s="28"/>
      <c r="E418" s="28"/>
      <c r="F418" s="29"/>
      <c r="G418" s="29"/>
      <c r="H418" s="29"/>
      <c r="I418" s="29"/>
      <c r="J418" s="29"/>
      <c r="K418" s="29"/>
      <c r="L418" s="30" t="str">
        <f aca="false">IF(A418="","",SUM(G418:K418))</f>
        <v/>
      </c>
      <c r="M418" s="31" t="str">
        <f aca="false">IF(A418="","",IF(F418=0,0,L418/F418))</f>
        <v/>
      </c>
      <c r="N418" s="5" t="str">
        <f aca="false">IF(A418="","",CHOOSE(WEEKDAY(A418,2),"月","火","水","木","金","土","日"))</f>
        <v/>
      </c>
      <c r="O418" s="5" t="str">
        <f aca="false">IF(B418="","",IF(HOUR(B418)&lt;6,"深夜(0-5時)",IF(HOUR(B418)&lt;11,"朝(6-10時)",IF(HOUR(B418)&lt;15,"昼(11-14時)",IF(HOUR(B418)&lt;19,"夕方(15-18時)","夜(19-23時)")))))</f>
        <v/>
      </c>
      <c r="P418" s="32" t="str">
        <f aca="false">IF(M418="","",M418+ROW()/1000000000)</f>
        <v/>
      </c>
    </row>
    <row r="419" customFormat="false" ht="15" hidden="false" customHeight="false" outlineLevel="0" collapsed="false">
      <c r="A419" s="25"/>
      <c r="B419" s="26"/>
      <c r="C419" s="27"/>
      <c r="D419" s="28"/>
      <c r="E419" s="28"/>
      <c r="F419" s="29"/>
      <c r="G419" s="29"/>
      <c r="H419" s="29"/>
      <c r="I419" s="29"/>
      <c r="J419" s="29"/>
      <c r="K419" s="29"/>
      <c r="L419" s="30" t="str">
        <f aca="false">IF(A419="","",SUM(G419:K419))</f>
        <v/>
      </c>
      <c r="M419" s="31" t="str">
        <f aca="false">IF(A419="","",IF(F419=0,0,L419/F419))</f>
        <v/>
      </c>
      <c r="N419" s="5" t="str">
        <f aca="false">IF(A419="","",CHOOSE(WEEKDAY(A419,2),"月","火","水","木","金","土","日"))</f>
        <v/>
      </c>
      <c r="O419" s="5" t="str">
        <f aca="false">IF(B419="","",IF(HOUR(B419)&lt;6,"深夜(0-5時)",IF(HOUR(B419)&lt;11,"朝(6-10時)",IF(HOUR(B419)&lt;15,"昼(11-14時)",IF(HOUR(B419)&lt;19,"夕方(15-18時)","夜(19-23時)")))))</f>
        <v/>
      </c>
      <c r="P419" s="32" t="str">
        <f aca="false">IF(M419="","",M419+ROW()/1000000000)</f>
        <v/>
      </c>
    </row>
    <row r="420" customFormat="false" ht="15" hidden="false" customHeight="false" outlineLevel="0" collapsed="false">
      <c r="A420" s="25"/>
      <c r="B420" s="26"/>
      <c r="C420" s="27"/>
      <c r="D420" s="28"/>
      <c r="E420" s="28"/>
      <c r="F420" s="29"/>
      <c r="G420" s="29"/>
      <c r="H420" s="29"/>
      <c r="I420" s="29"/>
      <c r="J420" s="29"/>
      <c r="K420" s="29"/>
      <c r="L420" s="30" t="str">
        <f aca="false">IF(A420="","",SUM(G420:K420))</f>
        <v/>
      </c>
      <c r="M420" s="31" t="str">
        <f aca="false">IF(A420="","",IF(F420=0,0,L420/F420))</f>
        <v/>
      </c>
      <c r="N420" s="5" t="str">
        <f aca="false">IF(A420="","",CHOOSE(WEEKDAY(A420,2),"月","火","水","木","金","土","日"))</f>
        <v/>
      </c>
      <c r="O420" s="5" t="str">
        <f aca="false">IF(B420="","",IF(HOUR(B420)&lt;6,"深夜(0-5時)",IF(HOUR(B420)&lt;11,"朝(6-10時)",IF(HOUR(B420)&lt;15,"昼(11-14時)",IF(HOUR(B420)&lt;19,"夕方(15-18時)","夜(19-23時)")))))</f>
        <v/>
      </c>
      <c r="P420" s="32" t="str">
        <f aca="false">IF(M420="","",M420+ROW()/1000000000)</f>
        <v/>
      </c>
    </row>
    <row r="421" customFormat="false" ht="15" hidden="false" customHeight="false" outlineLevel="0" collapsed="false">
      <c r="A421" s="25"/>
      <c r="B421" s="26"/>
      <c r="C421" s="27"/>
      <c r="D421" s="28"/>
      <c r="E421" s="28"/>
      <c r="F421" s="29"/>
      <c r="G421" s="29"/>
      <c r="H421" s="29"/>
      <c r="I421" s="29"/>
      <c r="J421" s="29"/>
      <c r="K421" s="29"/>
      <c r="L421" s="30" t="str">
        <f aca="false">IF(A421="","",SUM(G421:K421))</f>
        <v/>
      </c>
      <c r="M421" s="31" t="str">
        <f aca="false">IF(A421="","",IF(F421=0,0,L421/F421))</f>
        <v/>
      </c>
      <c r="N421" s="5" t="str">
        <f aca="false">IF(A421="","",CHOOSE(WEEKDAY(A421,2),"月","火","水","木","金","土","日"))</f>
        <v/>
      </c>
      <c r="O421" s="5" t="str">
        <f aca="false">IF(B421="","",IF(HOUR(B421)&lt;6,"深夜(0-5時)",IF(HOUR(B421)&lt;11,"朝(6-10時)",IF(HOUR(B421)&lt;15,"昼(11-14時)",IF(HOUR(B421)&lt;19,"夕方(15-18時)","夜(19-23時)")))))</f>
        <v/>
      </c>
      <c r="P421" s="32" t="str">
        <f aca="false">IF(M421="","",M421+ROW()/1000000000)</f>
        <v/>
      </c>
    </row>
    <row r="422" customFormat="false" ht="15" hidden="false" customHeight="false" outlineLevel="0" collapsed="false">
      <c r="A422" s="25"/>
      <c r="B422" s="26"/>
      <c r="C422" s="27"/>
      <c r="D422" s="28"/>
      <c r="E422" s="28"/>
      <c r="F422" s="29"/>
      <c r="G422" s="29"/>
      <c r="H422" s="29"/>
      <c r="I422" s="29"/>
      <c r="J422" s="29"/>
      <c r="K422" s="29"/>
      <c r="L422" s="30" t="str">
        <f aca="false">IF(A422="","",SUM(G422:K422))</f>
        <v/>
      </c>
      <c r="M422" s="31" t="str">
        <f aca="false">IF(A422="","",IF(F422=0,0,L422/F422))</f>
        <v/>
      </c>
      <c r="N422" s="5" t="str">
        <f aca="false">IF(A422="","",CHOOSE(WEEKDAY(A422,2),"月","火","水","木","金","土","日"))</f>
        <v/>
      </c>
      <c r="O422" s="5" t="str">
        <f aca="false">IF(B422="","",IF(HOUR(B422)&lt;6,"深夜(0-5時)",IF(HOUR(B422)&lt;11,"朝(6-10時)",IF(HOUR(B422)&lt;15,"昼(11-14時)",IF(HOUR(B422)&lt;19,"夕方(15-18時)","夜(19-23時)")))))</f>
        <v/>
      </c>
      <c r="P422" s="32" t="str">
        <f aca="false">IF(M422="","",M422+ROW()/1000000000)</f>
        <v/>
      </c>
    </row>
    <row r="423" customFormat="false" ht="15" hidden="false" customHeight="false" outlineLevel="0" collapsed="false">
      <c r="A423" s="25"/>
      <c r="B423" s="26"/>
      <c r="C423" s="27"/>
      <c r="D423" s="28"/>
      <c r="E423" s="28"/>
      <c r="F423" s="29"/>
      <c r="G423" s="29"/>
      <c r="H423" s="29"/>
      <c r="I423" s="29"/>
      <c r="J423" s="29"/>
      <c r="K423" s="29"/>
      <c r="L423" s="30" t="str">
        <f aca="false">IF(A423="","",SUM(G423:K423))</f>
        <v/>
      </c>
      <c r="M423" s="31" t="str">
        <f aca="false">IF(A423="","",IF(F423=0,0,L423/F423))</f>
        <v/>
      </c>
      <c r="N423" s="5" t="str">
        <f aca="false">IF(A423="","",CHOOSE(WEEKDAY(A423,2),"月","火","水","木","金","土","日"))</f>
        <v/>
      </c>
      <c r="O423" s="5" t="str">
        <f aca="false">IF(B423="","",IF(HOUR(B423)&lt;6,"深夜(0-5時)",IF(HOUR(B423)&lt;11,"朝(6-10時)",IF(HOUR(B423)&lt;15,"昼(11-14時)",IF(HOUR(B423)&lt;19,"夕方(15-18時)","夜(19-23時)")))))</f>
        <v/>
      </c>
      <c r="P423" s="32" t="str">
        <f aca="false">IF(M423="","",M423+ROW()/1000000000)</f>
        <v/>
      </c>
    </row>
    <row r="424" customFormat="false" ht="15" hidden="false" customHeight="false" outlineLevel="0" collapsed="false">
      <c r="A424" s="25"/>
      <c r="B424" s="26"/>
      <c r="C424" s="27"/>
      <c r="D424" s="28"/>
      <c r="E424" s="28"/>
      <c r="F424" s="29"/>
      <c r="G424" s="29"/>
      <c r="H424" s="29"/>
      <c r="I424" s="29"/>
      <c r="J424" s="29"/>
      <c r="K424" s="29"/>
      <c r="L424" s="30" t="str">
        <f aca="false">IF(A424="","",SUM(G424:K424))</f>
        <v/>
      </c>
      <c r="M424" s="31" t="str">
        <f aca="false">IF(A424="","",IF(F424=0,0,L424/F424))</f>
        <v/>
      </c>
      <c r="N424" s="5" t="str">
        <f aca="false">IF(A424="","",CHOOSE(WEEKDAY(A424,2),"月","火","水","木","金","土","日"))</f>
        <v/>
      </c>
      <c r="O424" s="5" t="str">
        <f aca="false">IF(B424="","",IF(HOUR(B424)&lt;6,"深夜(0-5時)",IF(HOUR(B424)&lt;11,"朝(6-10時)",IF(HOUR(B424)&lt;15,"昼(11-14時)",IF(HOUR(B424)&lt;19,"夕方(15-18時)","夜(19-23時)")))))</f>
        <v/>
      </c>
      <c r="P424" s="32" t="str">
        <f aca="false">IF(M424="","",M424+ROW()/1000000000)</f>
        <v/>
      </c>
    </row>
    <row r="425" customFormat="false" ht="15" hidden="false" customHeight="false" outlineLevel="0" collapsed="false">
      <c r="A425" s="25"/>
      <c r="B425" s="26"/>
      <c r="C425" s="27"/>
      <c r="D425" s="28"/>
      <c r="E425" s="28"/>
      <c r="F425" s="29"/>
      <c r="G425" s="29"/>
      <c r="H425" s="29"/>
      <c r="I425" s="29"/>
      <c r="J425" s="29"/>
      <c r="K425" s="29"/>
      <c r="L425" s="30" t="str">
        <f aca="false">IF(A425="","",SUM(G425:K425))</f>
        <v/>
      </c>
      <c r="M425" s="31" t="str">
        <f aca="false">IF(A425="","",IF(F425=0,0,L425/F425))</f>
        <v/>
      </c>
      <c r="N425" s="5" t="str">
        <f aca="false">IF(A425="","",CHOOSE(WEEKDAY(A425,2),"月","火","水","木","金","土","日"))</f>
        <v/>
      </c>
      <c r="O425" s="5" t="str">
        <f aca="false">IF(B425="","",IF(HOUR(B425)&lt;6,"深夜(0-5時)",IF(HOUR(B425)&lt;11,"朝(6-10時)",IF(HOUR(B425)&lt;15,"昼(11-14時)",IF(HOUR(B425)&lt;19,"夕方(15-18時)","夜(19-23時)")))))</f>
        <v/>
      </c>
      <c r="P425" s="32" t="str">
        <f aca="false">IF(M425="","",M425+ROW()/1000000000)</f>
        <v/>
      </c>
    </row>
    <row r="426" customFormat="false" ht="15" hidden="false" customHeight="false" outlineLevel="0" collapsed="false">
      <c r="A426" s="25"/>
      <c r="B426" s="26"/>
      <c r="C426" s="27"/>
      <c r="D426" s="28"/>
      <c r="E426" s="28"/>
      <c r="F426" s="29"/>
      <c r="G426" s="29"/>
      <c r="H426" s="29"/>
      <c r="I426" s="29"/>
      <c r="J426" s="29"/>
      <c r="K426" s="29"/>
      <c r="L426" s="30" t="str">
        <f aca="false">IF(A426="","",SUM(G426:K426))</f>
        <v/>
      </c>
      <c r="M426" s="31" t="str">
        <f aca="false">IF(A426="","",IF(F426=0,0,L426/F426))</f>
        <v/>
      </c>
      <c r="N426" s="5" t="str">
        <f aca="false">IF(A426="","",CHOOSE(WEEKDAY(A426,2),"月","火","水","木","金","土","日"))</f>
        <v/>
      </c>
      <c r="O426" s="5" t="str">
        <f aca="false">IF(B426="","",IF(HOUR(B426)&lt;6,"深夜(0-5時)",IF(HOUR(B426)&lt;11,"朝(6-10時)",IF(HOUR(B426)&lt;15,"昼(11-14時)",IF(HOUR(B426)&lt;19,"夕方(15-18時)","夜(19-23時)")))))</f>
        <v/>
      </c>
      <c r="P426" s="32" t="str">
        <f aca="false">IF(M426="","",M426+ROW()/1000000000)</f>
        <v/>
      </c>
    </row>
    <row r="427" customFormat="false" ht="15" hidden="false" customHeight="false" outlineLevel="0" collapsed="false">
      <c r="A427" s="25"/>
      <c r="B427" s="26"/>
      <c r="C427" s="27"/>
      <c r="D427" s="28"/>
      <c r="E427" s="28"/>
      <c r="F427" s="29"/>
      <c r="G427" s="29"/>
      <c r="H427" s="29"/>
      <c r="I427" s="29"/>
      <c r="J427" s="29"/>
      <c r="K427" s="29"/>
      <c r="L427" s="30" t="str">
        <f aca="false">IF(A427="","",SUM(G427:K427))</f>
        <v/>
      </c>
      <c r="M427" s="31" t="str">
        <f aca="false">IF(A427="","",IF(F427=0,0,L427/F427))</f>
        <v/>
      </c>
      <c r="N427" s="5" t="str">
        <f aca="false">IF(A427="","",CHOOSE(WEEKDAY(A427,2),"月","火","水","木","金","土","日"))</f>
        <v/>
      </c>
      <c r="O427" s="5" t="str">
        <f aca="false">IF(B427="","",IF(HOUR(B427)&lt;6,"深夜(0-5時)",IF(HOUR(B427)&lt;11,"朝(6-10時)",IF(HOUR(B427)&lt;15,"昼(11-14時)",IF(HOUR(B427)&lt;19,"夕方(15-18時)","夜(19-23時)")))))</f>
        <v/>
      </c>
      <c r="P427" s="32" t="str">
        <f aca="false">IF(M427="","",M427+ROW()/1000000000)</f>
        <v/>
      </c>
    </row>
    <row r="428" customFormat="false" ht="15" hidden="false" customHeight="false" outlineLevel="0" collapsed="false">
      <c r="A428" s="25"/>
      <c r="B428" s="26"/>
      <c r="C428" s="27"/>
      <c r="D428" s="28"/>
      <c r="E428" s="28"/>
      <c r="F428" s="29"/>
      <c r="G428" s="29"/>
      <c r="H428" s="29"/>
      <c r="I428" s="29"/>
      <c r="J428" s="29"/>
      <c r="K428" s="29"/>
      <c r="L428" s="30" t="str">
        <f aca="false">IF(A428="","",SUM(G428:K428))</f>
        <v/>
      </c>
      <c r="M428" s="31" t="str">
        <f aca="false">IF(A428="","",IF(F428=0,0,L428/F428))</f>
        <v/>
      </c>
      <c r="N428" s="5" t="str">
        <f aca="false">IF(A428="","",CHOOSE(WEEKDAY(A428,2),"月","火","水","木","金","土","日"))</f>
        <v/>
      </c>
      <c r="O428" s="5" t="str">
        <f aca="false">IF(B428="","",IF(HOUR(B428)&lt;6,"深夜(0-5時)",IF(HOUR(B428)&lt;11,"朝(6-10時)",IF(HOUR(B428)&lt;15,"昼(11-14時)",IF(HOUR(B428)&lt;19,"夕方(15-18時)","夜(19-23時)")))))</f>
        <v/>
      </c>
      <c r="P428" s="32" t="str">
        <f aca="false">IF(M428="","",M428+ROW()/1000000000)</f>
        <v/>
      </c>
    </row>
    <row r="429" customFormat="false" ht="15" hidden="false" customHeight="false" outlineLevel="0" collapsed="false">
      <c r="A429" s="25"/>
      <c r="B429" s="26"/>
      <c r="C429" s="27"/>
      <c r="D429" s="28"/>
      <c r="E429" s="28"/>
      <c r="F429" s="29"/>
      <c r="G429" s="29"/>
      <c r="H429" s="29"/>
      <c r="I429" s="29"/>
      <c r="J429" s="29"/>
      <c r="K429" s="29"/>
      <c r="L429" s="30" t="str">
        <f aca="false">IF(A429="","",SUM(G429:K429))</f>
        <v/>
      </c>
      <c r="M429" s="31" t="str">
        <f aca="false">IF(A429="","",IF(F429=0,0,L429/F429))</f>
        <v/>
      </c>
      <c r="N429" s="5" t="str">
        <f aca="false">IF(A429="","",CHOOSE(WEEKDAY(A429,2),"月","火","水","木","金","土","日"))</f>
        <v/>
      </c>
      <c r="O429" s="5" t="str">
        <f aca="false">IF(B429="","",IF(HOUR(B429)&lt;6,"深夜(0-5時)",IF(HOUR(B429)&lt;11,"朝(6-10時)",IF(HOUR(B429)&lt;15,"昼(11-14時)",IF(HOUR(B429)&lt;19,"夕方(15-18時)","夜(19-23時)")))))</f>
        <v/>
      </c>
      <c r="P429" s="32" t="str">
        <f aca="false">IF(M429="","",M429+ROW()/1000000000)</f>
        <v/>
      </c>
    </row>
    <row r="430" customFormat="false" ht="15" hidden="false" customHeight="false" outlineLevel="0" collapsed="false">
      <c r="A430" s="25"/>
      <c r="B430" s="26"/>
      <c r="C430" s="27"/>
      <c r="D430" s="28"/>
      <c r="E430" s="28"/>
      <c r="F430" s="29"/>
      <c r="G430" s="29"/>
      <c r="H430" s="29"/>
      <c r="I430" s="29"/>
      <c r="J430" s="29"/>
      <c r="K430" s="29"/>
      <c r="L430" s="30" t="str">
        <f aca="false">IF(A430="","",SUM(G430:K430))</f>
        <v/>
      </c>
      <c r="M430" s="31" t="str">
        <f aca="false">IF(A430="","",IF(F430=0,0,L430/F430))</f>
        <v/>
      </c>
      <c r="N430" s="5" t="str">
        <f aca="false">IF(A430="","",CHOOSE(WEEKDAY(A430,2),"月","火","水","木","金","土","日"))</f>
        <v/>
      </c>
      <c r="O430" s="5" t="str">
        <f aca="false">IF(B430="","",IF(HOUR(B430)&lt;6,"深夜(0-5時)",IF(HOUR(B430)&lt;11,"朝(6-10時)",IF(HOUR(B430)&lt;15,"昼(11-14時)",IF(HOUR(B430)&lt;19,"夕方(15-18時)","夜(19-23時)")))))</f>
        <v/>
      </c>
      <c r="P430" s="32" t="str">
        <f aca="false">IF(M430="","",M430+ROW()/1000000000)</f>
        <v/>
      </c>
    </row>
    <row r="431" customFormat="false" ht="15" hidden="false" customHeight="false" outlineLevel="0" collapsed="false">
      <c r="A431" s="25"/>
      <c r="B431" s="26"/>
      <c r="C431" s="27"/>
      <c r="D431" s="28"/>
      <c r="E431" s="28"/>
      <c r="F431" s="29"/>
      <c r="G431" s="29"/>
      <c r="H431" s="29"/>
      <c r="I431" s="29"/>
      <c r="J431" s="29"/>
      <c r="K431" s="29"/>
      <c r="L431" s="30" t="str">
        <f aca="false">IF(A431="","",SUM(G431:K431))</f>
        <v/>
      </c>
      <c r="M431" s="31" t="str">
        <f aca="false">IF(A431="","",IF(F431=0,0,L431/F431))</f>
        <v/>
      </c>
      <c r="N431" s="5" t="str">
        <f aca="false">IF(A431="","",CHOOSE(WEEKDAY(A431,2),"月","火","水","木","金","土","日"))</f>
        <v/>
      </c>
      <c r="O431" s="5" t="str">
        <f aca="false">IF(B431="","",IF(HOUR(B431)&lt;6,"深夜(0-5時)",IF(HOUR(B431)&lt;11,"朝(6-10時)",IF(HOUR(B431)&lt;15,"昼(11-14時)",IF(HOUR(B431)&lt;19,"夕方(15-18時)","夜(19-23時)")))))</f>
        <v/>
      </c>
      <c r="P431" s="32" t="str">
        <f aca="false">IF(M431="","",M431+ROW()/1000000000)</f>
        <v/>
      </c>
    </row>
    <row r="432" customFormat="false" ht="15" hidden="false" customHeight="false" outlineLevel="0" collapsed="false">
      <c r="A432" s="25"/>
      <c r="B432" s="26"/>
      <c r="C432" s="27"/>
      <c r="D432" s="28"/>
      <c r="E432" s="28"/>
      <c r="F432" s="29"/>
      <c r="G432" s="29"/>
      <c r="H432" s="29"/>
      <c r="I432" s="29"/>
      <c r="J432" s="29"/>
      <c r="K432" s="29"/>
      <c r="L432" s="30" t="str">
        <f aca="false">IF(A432="","",SUM(G432:K432))</f>
        <v/>
      </c>
      <c r="M432" s="31" t="str">
        <f aca="false">IF(A432="","",IF(F432=0,0,L432/F432))</f>
        <v/>
      </c>
      <c r="N432" s="5" t="str">
        <f aca="false">IF(A432="","",CHOOSE(WEEKDAY(A432,2),"月","火","水","木","金","土","日"))</f>
        <v/>
      </c>
      <c r="O432" s="5" t="str">
        <f aca="false">IF(B432="","",IF(HOUR(B432)&lt;6,"深夜(0-5時)",IF(HOUR(B432)&lt;11,"朝(6-10時)",IF(HOUR(B432)&lt;15,"昼(11-14時)",IF(HOUR(B432)&lt;19,"夕方(15-18時)","夜(19-23時)")))))</f>
        <v/>
      </c>
      <c r="P432" s="32" t="str">
        <f aca="false">IF(M432="","",M432+ROW()/1000000000)</f>
        <v/>
      </c>
    </row>
    <row r="433" customFormat="false" ht="15" hidden="false" customHeight="false" outlineLevel="0" collapsed="false">
      <c r="A433" s="25"/>
      <c r="B433" s="26"/>
      <c r="C433" s="27"/>
      <c r="D433" s="28"/>
      <c r="E433" s="28"/>
      <c r="F433" s="29"/>
      <c r="G433" s="29"/>
      <c r="H433" s="29"/>
      <c r="I433" s="29"/>
      <c r="J433" s="29"/>
      <c r="K433" s="29"/>
      <c r="L433" s="30" t="str">
        <f aca="false">IF(A433="","",SUM(G433:K433))</f>
        <v/>
      </c>
      <c r="M433" s="31" t="str">
        <f aca="false">IF(A433="","",IF(F433=0,0,L433/F433))</f>
        <v/>
      </c>
      <c r="N433" s="5" t="str">
        <f aca="false">IF(A433="","",CHOOSE(WEEKDAY(A433,2),"月","火","水","木","金","土","日"))</f>
        <v/>
      </c>
      <c r="O433" s="5" t="str">
        <f aca="false">IF(B433="","",IF(HOUR(B433)&lt;6,"深夜(0-5時)",IF(HOUR(B433)&lt;11,"朝(6-10時)",IF(HOUR(B433)&lt;15,"昼(11-14時)",IF(HOUR(B433)&lt;19,"夕方(15-18時)","夜(19-23時)")))))</f>
        <v/>
      </c>
      <c r="P433" s="32" t="str">
        <f aca="false">IF(M433="","",M433+ROW()/1000000000)</f>
        <v/>
      </c>
    </row>
    <row r="434" customFormat="false" ht="15" hidden="false" customHeight="false" outlineLevel="0" collapsed="false">
      <c r="A434" s="25"/>
      <c r="B434" s="26"/>
      <c r="C434" s="27"/>
      <c r="D434" s="28"/>
      <c r="E434" s="28"/>
      <c r="F434" s="29"/>
      <c r="G434" s="29"/>
      <c r="H434" s="29"/>
      <c r="I434" s="29"/>
      <c r="J434" s="29"/>
      <c r="K434" s="29"/>
      <c r="L434" s="30" t="str">
        <f aca="false">IF(A434="","",SUM(G434:K434))</f>
        <v/>
      </c>
      <c r="M434" s="31" t="str">
        <f aca="false">IF(A434="","",IF(F434=0,0,L434/F434))</f>
        <v/>
      </c>
      <c r="N434" s="5" t="str">
        <f aca="false">IF(A434="","",CHOOSE(WEEKDAY(A434,2),"月","火","水","木","金","土","日"))</f>
        <v/>
      </c>
      <c r="O434" s="5" t="str">
        <f aca="false">IF(B434="","",IF(HOUR(B434)&lt;6,"深夜(0-5時)",IF(HOUR(B434)&lt;11,"朝(6-10時)",IF(HOUR(B434)&lt;15,"昼(11-14時)",IF(HOUR(B434)&lt;19,"夕方(15-18時)","夜(19-23時)")))))</f>
        <v/>
      </c>
      <c r="P434" s="32" t="str">
        <f aca="false">IF(M434="","",M434+ROW()/1000000000)</f>
        <v/>
      </c>
    </row>
    <row r="435" customFormat="false" ht="15" hidden="false" customHeight="false" outlineLevel="0" collapsed="false">
      <c r="A435" s="25"/>
      <c r="B435" s="26"/>
      <c r="C435" s="27"/>
      <c r="D435" s="28"/>
      <c r="E435" s="28"/>
      <c r="F435" s="29"/>
      <c r="G435" s="29"/>
      <c r="H435" s="29"/>
      <c r="I435" s="29"/>
      <c r="J435" s="29"/>
      <c r="K435" s="29"/>
      <c r="L435" s="30" t="str">
        <f aca="false">IF(A435="","",SUM(G435:K435))</f>
        <v/>
      </c>
      <c r="M435" s="31" t="str">
        <f aca="false">IF(A435="","",IF(F435=0,0,L435/F435))</f>
        <v/>
      </c>
      <c r="N435" s="5" t="str">
        <f aca="false">IF(A435="","",CHOOSE(WEEKDAY(A435,2),"月","火","水","木","金","土","日"))</f>
        <v/>
      </c>
      <c r="O435" s="5" t="str">
        <f aca="false">IF(B435="","",IF(HOUR(B435)&lt;6,"深夜(0-5時)",IF(HOUR(B435)&lt;11,"朝(6-10時)",IF(HOUR(B435)&lt;15,"昼(11-14時)",IF(HOUR(B435)&lt;19,"夕方(15-18時)","夜(19-23時)")))))</f>
        <v/>
      </c>
      <c r="P435" s="32" t="str">
        <f aca="false">IF(M435="","",M435+ROW()/1000000000)</f>
        <v/>
      </c>
    </row>
    <row r="436" customFormat="false" ht="15" hidden="false" customHeight="false" outlineLevel="0" collapsed="false">
      <c r="A436" s="25"/>
      <c r="B436" s="26"/>
      <c r="C436" s="27"/>
      <c r="D436" s="28"/>
      <c r="E436" s="28"/>
      <c r="F436" s="29"/>
      <c r="G436" s="29"/>
      <c r="H436" s="29"/>
      <c r="I436" s="29"/>
      <c r="J436" s="29"/>
      <c r="K436" s="29"/>
      <c r="L436" s="30" t="str">
        <f aca="false">IF(A436="","",SUM(G436:K436))</f>
        <v/>
      </c>
      <c r="M436" s="31" t="str">
        <f aca="false">IF(A436="","",IF(F436=0,0,L436/F436))</f>
        <v/>
      </c>
      <c r="N436" s="5" t="str">
        <f aca="false">IF(A436="","",CHOOSE(WEEKDAY(A436,2),"月","火","水","木","金","土","日"))</f>
        <v/>
      </c>
      <c r="O436" s="5" t="str">
        <f aca="false">IF(B436="","",IF(HOUR(B436)&lt;6,"深夜(0-5時)",IF(HOUR(B436)&lt;11,"朝(6-10時)",IF(HOUR(B436)&lt;15,"昼(11-14時)",IF(HOUR(B436)&lt;19,"夕方(15-18時)","夜(19-23時)")))))</f>
        <v/>
      </c>
      <c r="P436" s="32" t="str">
        <f aca="false">IF(M436="","",M436+ROW()/1000000000)</f>
        <v/>
      </c>
    </row>
    <row r="437" customFormat="false" ht="15" hidden="false" customHeight="false" outlineLevel="0" collapsed="false">
      <c r="A437" s="25"/>
      <c r="B437" s="26"/>
      <c r="C437" s="27"/>
      <c r="D437" s="28"/>
      <c r="E437" s="28"/>
      <c r="F437" s="29"/>
      <c r="G437" s="29"/>
      <c r="H437" s="29"/>
      <c r="I437" s="29"/>
      <c r="J437" s="29"/>
      <c r="K437" s="29"/>
      <c r="L437" s="30" t="str">
        <f aca="false">IF(A437="","",SUM(G437:K437))</f>
        <v/>
      </c>
      <c r="M437" s="31" t="str">
        <f aca="false">IF(A437="","",IF(F437=0,0,L437/F437))</f>
        <v/>
      </c>
      <c r="N437" s="5" t="str">
        <f aca="false">IF(A437="","",CHOOSE(WEEKDAY(A437,2),"月","火","水","木","金","土","日"))</f>
        <v/>
      </c>
      <c r="O437" s="5" t="str">
        <f aca="false">IF(B437="","",IF(HOUR(B437)&lt;6,"深夜(0-5時)",IF(HOUR(B437)&lt;11,"朝(6-10時)",IF(HOUR(B437)&lt;15,"昼(11-14時)",IF(HOUR(B437)&lt;19,"夕方(15-18時)","夜(19-23時)")))))</f>
        <v/>
      </c>
      <c r="P437" s="32" t="str">
        <f aca="false">IF(M437="","",M437+ROW()/1000000000)</f>
        <v/>
      </c>
    </row>
    <row r="438" customFormat="false" ht="15" hidden="false" customHeight="false" outlineLevel="0" collapsed="false">
      <c r="A438" s="25"/>
      <c r="B438" s="26"/>
      <c r="C438" s="27"/>
      <c r="D438" s="28"/>
      <c r="E438" s="28"/>
      <c r="F438" s="29"/>
      <c r="G438" s="29"/>
      <c r="H438" s="29"/>
      <c r="I438" s="29"/>
      <c r="J438" s="29"/>
      <c r="K438" s="29"/>
      <c r="L438" s="30" t="str">
        <f aca="false">IF(A438="","",SUM(G438:K438))</f>
        <v/>
      </c>
      <c r="M438" s="31" t="str">
        <f aca="false">IF(A438="","",IF(F438=0,0,L438/F438))</f>
        <v/>
      </c>
      <c r="N438" s="5" t="str">
        <f aca="false">IF(A438="","",CHOOSE(WEEKDAY(A438,2),"月","火","水","木","金","土","日"))</f>
        <v/>
      </c>
      <c r="O438" s="5" t="str">
        <f aca="false">IF(B438="","",IF(HOUR(B438)&lt;6,"深夜(0-5時)",IF(HOUR(B438)&lt;11,"朝(6-10時)",IF(HOUR(B438)&lt;15,"昼(11-14時)",IF(HOUR(B438)&lt;19,"夕方(15-18時)","夜(19-23時)")))))</f>
        <v/>
      </c>
      <c r="P438" s="32" t="str">
        <f aca="false">IF(M438="","",M438+ROW()/1000000000)</f>
        <v/>
      </c>
    </row>
    <row r="439" customFormat="false" ht="15" hidden="false" customHeight="false" outlineLevel="0" collapsed="false">
      <c r="A439" s="25"/>
      <c r="B439" s="26"/>
      <c r="C439" s="27"/>
      <c r="D439" s="28"/>
      <c r="E439" s="28"/>
      <c r="F439" s="29"/>
      <c r="G439" s="29"/>
      <c r="H439" s="29"/>
      <c r="I439" s="29"/>
      <c r="J439" s="29"/>
      <c r="K439" s="29"/>
      <c r="L439" s="30" t="str">
        <f aca="false">IF(A439="","",SUM(G439:K439))</f>
        <v/>
      </c>
      <c r="M439" s="31" t="str">
        <f aca="false">IF(A439="","",IF(F439=0,0,L439/F439))</f>
        <v/>
      </c>
      <c r="N439" s="5" t="str">
        <f aca="false">IF(A439="","",CHOOSE(WEEKDAY(A439,2),"月","火","水","木","金","土","日"))</f>
        <v/>
      </c>
      <c r="O439" s="5" t="str">
        <f aca="false">IF(B439="","",IF(HOUR(B439)&lt;6,"深夜(0-5時)",IF(HOUR(B439)&lt;11,"朝(6-10時)",IF(HOUR(B439)&lt;15,"昼(11-14時)",IF(HOUR(B439)&lt;19,"夕方(15-18時)","夜(19-23時)")))))</f>
        <v/>
      </c>
      <c r="P439" s="32" t="str">
        <f aca="false">IF(M439="","",M439+ROW()/1000000000)</f>
        <v/>
      </c>
    </row>
    <row r="440" customFormat="false" ht="15" hidden="false" customHeight="false" outlineLevel="0" collapsed="false">
      <c r="A440" s="25"/>
      <c r="B440" s="26"/>
      <c r="C440" s="27"/>
      <c r="D440" s="28"/>
      <c r="E440" s="28"/>
      <c r="F440" s="29"/>
      <c r="G440" s="29"/>
      <c r="H440" s="29"/>
      <c r="I440" s="29"/>
      <c r="J440" s="29"/>
      <c r="K440" s="29"/>
      <c r="L440" s="30" t="str">
        <f aca="false">IF(A440="","",SUM(G440:K440))</f>
        <v/>
      </c>
      <c r="M440" s="31" t="str">
        <f aca="false">IF(A440="","",IF(F440=0,0,L440/F440))</f>
        <v/>
      </c>
      <c r="N440" s="5" t="str">
        <f aca="false">IF(A440="","",CHOOSE(WEEKDAY(A440,2),"月","火","水","木","金","土","日"))</f>
        <v/>
      </c>
      <c r="O440" s="5" t="str">
        <f aca="false">IF(B440="","",IF(HOUR(B440)&lt;6,"深夜(0-5時)",IF(HOUR(B440)&lt;11,"朝(6-10時)",IF(HOUR(B440)&lt;15,"昼(11-14時)",IF(HOUR(B440)&lt;19,"夕方(15-18時)","夜(19-23時)")))))</f>
        <v/>
      </c>
      <c r="P440" s="32" t="str">
        <f aca="false">IF(M440="","",M440+ROW()/1000000000)</f>
        <v/>
      </c>
    </row>
    <row r="441" customFormat="false" ht="15" hidden="false" customHeight="false" outlineLevel="0" collapsed="false">
      <c r="A441" s="25"/>
      <c r="B441" s="26"/>
      <c r="C441" s="27"/>
      <c r="D441" s="28"/>
      <c r="E441" s="28"/>
      <c r="F441" s="29"/>
      <c r="G441" s="29"/>
      <c r="H441" s="29"/>
      <c r="I441" s="29"/>
      <c r="J441" s="29"/>
      <c r="K441" s="29"/>
      <c r="L441" s="30" t="str">
        <f aca="false">IF(A441="","",SUM(G441:K441))</f>
        <v/>
      </c>
      <c r="M441" s="31" t="str">
        <f aca="false">IF(A441="","",IF(F441=0,0,L441/F441))</f>
        <v/>
      </c>
      <c r="N441" s="5" t="str">
        <f aca="false">IF(A441="","",CHOOSE(WEEKDAY(A441,2),"月","火","水","木","金","土","日"))</f>
        <v/>
      </c>
      <c r="O441" s="5" t="str">
        <f aca="false">IF(B441="","",IF(HOUR(B441)&lt;6,"深夜(0-5時)",IF(HOUR(B441)&lt;11,"朝(6-10時)",IF(HOUR(B441)&lt;15,"昼(11-14時)",IF(HOUR(B441)&lt;19,"夕方(15-18時)","夜(19-23時)")))))</f>
        <v/>
      </c>
      <c r="P441" s="32" t="str">
        <f aca="false">IF(M441="","",M441+ROW()/1000000000)</f>
        <v/>
      </c>
    </row>
    <row r="442" customFormat="false" ht="15" hidden="false" customHeight="false" outlineLevel="0" collapsed="false">
      <c r="A442" s="25"/>
      <c r="B442" s="26"/>
      <c r="C442" s="27"/>
      <c r="D442" s="28"/>
      <c r="E442" s="28"/>
      <c r="F442" s="29"/>
      <c r="G442" s="29"/>
      <c r="H442" s="29"/>
      <c r="I442" s="29"/>
      <c r="J442" s="29"/>
      <c r="K442" s="29"/>
      <c r="L442" s="30" t="str">
        <f aca="false">IF(A442="","",SUM(G442:K442))</f>
        <v/>
      </c>
      <c r="M442" s="31" t="str">
        <f aca="false">IF(A442="","",IF(F442=0,0,L442/F442))</f>
        <v/>
      </c>
      <c r="N442" s="5" t="str">
        <f aca="false">IF(A442="","",CHOOSE(WEEKDAY(A442,2),"月","火","水","木","金","土","日"))</f>
        <v/>
      </c>
      <c r="O442" s="5" t="str">
        <f aca="false">IF(B442="","",IF(HOUR(B442)&lt;6,"深夜(0-5時)",IF(HOUR(B442)&lt;11,"朝(6-10時)",IF(HOUR(B442)&lt;15,"昼(11-14時)",IF(HOUR(B442)&lt;19,"夕方(15-18時)","夜(19-23時)")))))</f>
        <v/>
      </c>
      <c r="P442" s="32" t="str">
        <f aca="false">IF(M442="","",M442+ROW()/1000000000)</f>
        <v/>
      </c>
    </row>
    <row r="443" customFormat="false" ht="15" hidden="false" customHeight="false" outlineLevel="0" collapsed="false">
      <c r="A443" s="25"/>
      <c r="B443" s="26"/>
      <c r="C443" s="27"/>
      <c r="D443" s="28"/>
      <c r="E443" s="28"/>
      <c r="F443" s="29"/>
      <c r="G443" s="29"/>
      <c r="H443" s="29"/>
      <c r="I443" s="29"/>
      <c r="J443" s="29"/>
      <c r="K443" s="29"/>
      <c r="L443" s="30" t="str">
        <f aca="false">IF(A443="","",SUM(G443:K443))</f>
        <v/>
      </c>
      <c r="M443" s="31" t="str">
        <f aca="false">IF(A443="","",IF(F443=0,0,L443/F443))</f>
        <v/>
      </c>
      <c r="N443" s="5" t="str">
        <f aca="false">IF(A443="","",CHOOSE(WEEKDAY(A443,2),"月","火","水","木","金","土","日"))</f>
        <v/>
      </c>
      <c r="O443" s="5" t="str">
        <f aca="false">IF(B443="","",IF(HOUR(B443)&lt;6,"深夜(0-5時)",IF(HOUR(B443)&lt;11,"朝(6-10時)",IF(HOUR(B443)&lt;15,"昼(11-14時)",IF(HOUR(B443)&lt;19,"夕方(15-18時)","夜(19-23時)")))))</f>
        <v/>
      </c>
      <c r="P443" s="32" t="str">
        <f aca="false">IF(M443="","",M443+ROW()/1000000000)</f>
        <v/>
      </c>
    </row>
    <row r="444" customFormat="false" ht="15" hidden="false" customHeight="false" outlineLevel="0" collapsed="false">
      <c r="A444" s="25"/>
      <c r="B444" s="26"/>
      <c r="C444" s="27"/>
      <c r="D444" s="28"/>
      <c r="E444" s="28"/>
      <c r="F444" s="29"/>
      <c r="G444" s="29"/>
      <c r="H444" s="29"/>
      <c r="I444" s="29"/>
      <c r="J444" s="29"/>
      <c r="K444" s="29"/>
      <c r="L444" s="30" t="str">
        <f aca="false">IF(A444="","",SUM(G444:K444))</f>
        <v/>
      </c>
      <c r="M444" s="31" t="str">
        <f aca="false">IF(A444="","",IF(F444=0,0,L444/F444))</f>
        <v/>
      </c>
      <c r="N444" s="5" t="str">
        <f aca="false">IF(A444="","",CHOOSE(WEEKDAY(A444,2),"月","火","水","木","金","土","日"))</f>
        <v/>
      </c>
      <c r="O444" s="5" t="str">
        <f aca="false">IF(B444="","",IF(HOUR(B444)&lt;6,"深夜(0-5時)",IF(HOUR(B444)&lt;11,"朝(6-10時)",IF(HOUR(B444)&lt;15,"昼(11-14時)",IF(HOUR(B444)&lt;19,"夕方(15-18時)","夜(19-23時)")))))</f>
        <v/>
      </c>
      <c r="P444" s="32" t="str">
        <f aca="false">IF(M444="","",M444+ROW()/1000000000)</f>
        <v/>
      </c>
    </row>
    <row r="445" customFormat="false" ht="15" hidden="false" customHeight="false" outlineLevel="0" collapsed="false">
      <c r="A445" s="25"/>
      <c r="B445" s="26"/>
      <c r="C445" s="27"/>
      <c r="D445" s="28"/>
      <c r="E445" s="28"/>
      <c r="F445" s="29"/>
      <c r="G445" s="29"/>
      <c r="H445" s="29"/>
      <c r="I445" s="29"/>
      <c r="J445" s="29"/>
      <c r="K445" s="29"/>
      <c r="L445" s="30" t="str">
        <f aca="false">IF(A445="","",SUM(G445:K445))</f>
        <v/>
      </c>
      <c r="M445" s="31" t="str">
        <f aca="false">IF(A445="","",IF(F445=0,0,L445/F445))</f>
        <v/>
      </c>
      <c r="N445" s="5" t="str">
        <f aca="false">IF(A445="","",CHOOSE(WEEKDAY(A445,2),"月","火","水","木","金","土","日"))</f>
        <v/>
      </c>
      <c r="O445" s="5" t="str">
        <f aca="false">IF(B445="","",IF(HOUR(B445)&lt;6,"深夜(0-5時)",IF(HOUR(B445)&lt;11,"朝(6-10時)",IF(HOUR(B445)&lt;15,"昼(11-14時)",IF(HOUR(B445)&lt;19,"夕方(15-18時)","夜(19-23時)")))))</f>
        <v/>
      </c>
      <c r="P445" s="32" t="str">
        <f aca="false">IF(M445="","",M445+ROW()/1000000000)</f>
        <v/>
      </c>
    </row>
    <row r="446" customFormat="false" ht="15" hidden="false" customHeight="false" outlineLevel="0" collapsed="false">
      <c r="A446" s="25"/>
      <c r="B446" s="26"/>
      <c r="C446" s="27"/>
      <c r="D446" s="28"/>
      <c r="E446" s="28"/>
      <c r="F446" s="29"/>
      <c r="G446" s="29"/>
      <c r="H446" s="29"/>
      <c r="I446" s="29"/>
      <c r="J446" s="29"/>
      <c r="K446" s="29"/>
      <c r="L446" s="30" t="str">
        <f aca="false">IF(A446="","",SUM(G446:K446))</f>
        <v/>
      </c>
      <c r="M446" s="31" t="str">
        <f aca="false">IF(A446="","",IF(F446=0,0,L446/F446))</f>
        <v/>
      </c>
      <c r="N446" s="5" t="str">
        <f aca="false">IF(A446="","",CHOOSE(WEEKDAY(A446,2),"月","火","水","木","金","土","日"))</f>
        <v/>
      </c>
      <c r="O446" s="5" t="str">
        <f aca="false">IF(B446="","",IF(HOUR(B446)&lt;6,"深夜(0-5時)",IF(HOUR(B446)&lt;11,"朝(6-10時)",IF(HOUR(B446)&lt;15,"昼(11-14時)",IF(HOUR(B446)&lt;19,"夕方(15-18時)","夜(19-23時)")))))</f>
        <v/>
      </c>
      <c r="P446" s="32" t="str">
        <f aca="false">IF(M446="","",M446+ROW()/1000000000)</f>
        <v/>
      </c>
    </row>
    <row r="447" customFormat="false" ht="15" hidden="false" customHeight="false" outlineLevel="0" collapsed="false">
      <c r="A447" s="25"/>
      <c r="B447" s="26"/>
      <c r="C447" s="27"/>
      <c r="D447" s="28"/>
      <c r="E447" s="28"/>
      <c r="F447" s="29"/>
      <c r="G447" s="29"/>
      <c r="H447" s="29"/>
      <c r="I447" s="29"/>
      <c r="J447" s="29"/>
      <c r="K447" s="29"/>
      <c r="L447" s="30" t="str">
        <f aca="false">IF(A447="","",SUM(G447:K447))</f>
        <v/>
      </c>
      <c r="M447" s="31" t="str">
        <f aca="false">IF(A447="","",IF(F447=0,0,L447/F447))</f>
        <v/>
      </c>
      <c r="N447" s="5" t="str">
        <f aca="false">IF(A447="","",CHOOSE(WEEKDAY(A447,2),"月","火","水","木","金","土","日"))</f>
        <v/>
      </c>
      <c r="O447" s="5" t="str">
        <f aca="false">IF(B447="","",IF(HOUR(B447)&lt;6,"深夜(0-5時)",IF(HOUR(B447)&lt;11,"朝(6-10時)",IF(HOUR(B447)&lt;15,"昼(11-14時)",IF(HOUR(B447)&lt;19,"夕方(15-18時)","夜(19-23時)")))))</f>
        <v/>
      </c>
      <c r="P447" s="32" t="str">
        <f aca="false">IF(M447="","",M447+ROW()/1000000000)</f>
        <v/>
      </c>
    </row>
    <row r="448" customFormat="false" ht="15" hidden="false" customHeight="false" outlineLevel="0" collapsed="false">
      <c r="A448" s="25"/>
      <c r="B448" s="26"/>
      <c r="C448" s="27"/>
      <c r="D448" s="28"/>
      <c r="E448" s="28"/>
      <c r="F448" s="29"/>
      <c r="G448" s="29"/>
      <c r="H448" s="29"/>
      <c r="I448" s="29"/>
      <c r="J448" s="29"/>
      <c r="K448" s="29"/>
      <c r="L448" s="30" t="str">
        <f aca="false">IF(A448="","",SUM(G448:K448))</f>
        <v/>
      </c>
      <c r="M448" s="31" t="str">
        <f aca="false">IF(A448="","",IF(F448=0,0,L448/F448))</f>
        <v/>
      </c>
      <c r="N448" s="5" t="str">
        <f aca="false">IF(A448="","",CHOOSE(WEEKDAY(A448,2),"月","火","水","木","金","土","日"))</f>
        <v/>
      </c>
      <c r="O448" s="5" t="str">
        <f aca="false">IF(B448="","",IF(HOUR(B448)&lt;6,"深夜(0-5時)",IF(HOUR(B448)&lt;11,"朝(6-10時)",IF(HOUR(B448)&lt;15,"昼(11-14時)",IF(HOUR(B448)&lt;19,"夕方(15-18時)","夜(19-23時)")))))</f>
        <v/>
      </c>
      <c r="P448" s="32" t="str">
        <f aca="false">IF(M448="","",M448+ROW()/1000000000)</f>
        <v/>
      </c>
    </row>
    <row r="449" customFormat="false" ht="15" hidden="false" customHeight="false" outlineLevel="0" collapsed="false">
      <c r="A449" s="25"/>
      <c r="B449" s="26"/>
      <c r="C449" s="27"/>
      <c r="D449" s="28"/>
      <c r="E449" s="28"/>
      <c r="F449" s="29"/>
      <c r="G449" s="29"/>
      <c r="H449" s="29"/>
      <c r="I449" s="29"/>
      <c r="J449" s="29"/>
      <c r="K449" s="29"/>
      <c r="L449" s="30" t="str">
        <f aca="false">IF(A449="","",SUM(G449:K449))</f>
        <v/>
      </c>
      <c r="M449" s="31" t="str">
        <f aca="false">IF(A449="","",IF(F449=0,0,L449/F449))</f>
        <v/>
      </c>
      <c r="N449" s="5" t="str">
        <f aca="false">IF(A449="","",CHOOSE(WEEKDAY(A449,2),"月","火","水","木","金","土","日"))</f>
        <v/>
      </c>
      <c r="O449" s="5" t="str">
        <f aca="false">IF(B449="","",IF(HOUR(B449)&lt;6,"深夜(0-5時)",IF(HOUR(B449)&lt;11,"朝(6-10時)",IF(HOUR(B449)&lt;15,"昼(11-14時)",IF(HOUR(B449)&lt;19,"夕方(15-18時)","夜(19-23時)")))))</f>
        <v/>
      </c>
      <c r="P449" s="32" t="str">
        <f aca="false">IF(M449="","",M449+ROW()/1000000000)</f>
        <v/>
      </c>
    </row>
    <row r="450" customFormat="false" ht="15" hidden="false" customHeight="false" outlineLevel="0" collapsed="false">
      <c r="A450" s="25"/>
      <c r="B450" s="26"/>
      <c r="C450" s="27"/>
      <c r="D450" s="28"/>
      <c r="E450" s="28"/>
      <c r="F450" s="29"/>
      <c r="G450" s="29"/>
      <c r="H450" s="29"/>
      <c r="I450" s="29"/>
      <c r="J450" s="29"/>
      <c r="K450" s="29"/>
      <c r="L450" s="30" t="str">
        <f aca="false">IF(A450="","",SUM(G450:K450))</f>
        <v/>
      </c>
      <c r="M450" s="31" t="str">
        <f aca="false">IF(A450="","",IF(F450=0,0,L450/F450))</f>
        <v/>
      </c>
      <c r="N450" s="5" t="str">
        <f aca="false">IF(A450="","",CHOOSE(WEEKDAY(A450,2),"月","火","水","木","金","土","日"))</f>
        <v/>
      </c>
      <c r="O450" s="5" t="str">
        <f aca="false">IF(B450="","",IF(HOUR(B450)&lt;6,"深夜(0-5時)",IF(HOUR(B450)&lt;11,"朝(6-10時)",IF(HOUR(B450)&lt;15,"昼(11-14時)",IF(HOUR(B450)&lt;19,"夕方(15-18時)","夜(19-23時)")))))</f>
        <v/>
      </c>
      <c r="P450" s="32" t="str">
        <f aca="false">IF(M450="","",M450+ROW()/1000000000)</f>
        <v/>
      </c>
    </row>
    <row r="451" customFormat="false" ht="15" hidden="false" customHeight="false" outlineLevel="0" collapsed="false">
      <c r="A451" s="25"/>
      <c r="B451" s="26"/>
      <c r="C451" s="27"/>
      <c r="D451" s="28"/>
      <c r="E451" s="28"/>
      <c r="F451" s="29"/>
      <c r="G451" s="29"/>
      <c r="H451" s="29"/>
      <c r="I451" s="29"/>
      <c r="J451" s="29"/>
      <c r="K451" s="29"/>
      <c r="L451" s="30" t="str">
        <f aca="false">IF(A451="","",SUM(G451:K451))</f>
        <v/>
      </c>
      <c r="M451" s="31" t="str">
        <f aca="false">IF(A451="","",IF(F451=0,0,L451/F451))</f>
        <v/>
      </c>
      <c r="N451" s="5" t="str">
        <f aca="false">IF(A451="","",CHOOSE(WEEKDAY(A451,2),"月","火","水","木","金","土","日"))</f>
        <v/>
      </c>
      <c r="O451" s="5" t="str">
        <f aca="false">IF(B451="","",IF(HOUR(B451)&lt;6,"深夜(0-5時)",IF(HOUR(B451)&lt;11,"朝(6-10時)",IF(HOUR(B451)&lt;15,"昼(11-14時)",IF(HOUR(B451)&lt;19,"夕方(15-18時)","夜(19-23時)")))))</f>
        <v/>
      </c>
      <c r="P451" s="32" t="str">
        <f aca="false">IF(M451="","",M451+ROW()/1000000000)</f>
        <v/>
      </c>
    </row>
    <row r="452" customFormat="false" ht="15" hidden="false" customHeight="false" outlineLevel="0" collapsed="false">
      <c r="A452" s="25"/>
      <c r="B452" s="26"/>
      <c r="C452" s="27"/>
      <c r="D452" s="28"/>
      <c r="E452" s="28"/>
      <c r="F452" s="29"/>
      <c r="G452" s="29"/>
      <c r="H452" s="29"/>
      <c r="I452" s="29"/>
      <c r="J452" s="29"/>
      <c r="K452" s="29"/>
      <c r="L452" s="30" t="str">
        <f aca="false">IF(A452="","",SUM(G452:K452))</f>
        <v/>
      </c>
      <c r="M452" s="31" t="str">
        <f aca="false">IF(A452="","",IF(F452=0,0,L452/F452))</f>
        <v/>
      </c>
      <c r="N452" s="5" t="str">
        <f aca="false">IF(A452="","",CHOOSE(WEEKDAY(A452,2),"月","火","水","木","金","土","日"))</f>
        <v/>
      </c>
      <c r="O452" s="5" t="str">
        <f aca="false">IF(B452="","",IF(HOUR(B452)&lt;6,"深夜(0-5時)",IF(HOUR(B452)&lt;11,"朝(6-10時)",IF(HOUR(B452)&lt;15,"昼(11-14時)",IF(HOUR(B452)&lt;19,"夕方(15-18時)","夜(19-23時)")))))</f>
        <v/>
      </c>
      <c r="P452" s="32" t="str">
        <f aca="false">IF(M452="","",M452+ROW()/1000000000)</f>
        <v/>
      </c>
    </row>
    <row r="453" customFormat="false" ht="15" hidden="false" customHeight="false" outlineLevel="0" collapsed="false">
      <c r="A453" s="25"/>
      <c r="B453" s="26"/>
      <c r="C453" s="27"/>
      <c r="D453" s="28"/>
      <c r="E453" s="28"/>
      <c r="F453" s="29"/>
      <c r="G453" s="29"/>
      <c r="H453" s="29"/>
      <c r="I453" s="29"/>
      <c r="J453" s="29"/>
      <c r="K453" s="29"/>
      <c r="L453" s="30" t="str">
        <f aca="false">IF(A453="","",SUM(G453:K453))</f>
        <v/>
      </c>
      <c r="M453" s="31" t="str">
        <f aca="false">IF(A453="","",IF(F453=0,0,L453/F453))</f>
        <v/>
      </c>
      <c r="N453" s="5" t="str">
        <f aca="false">IF(A453="","",CHOOSE(WEEKDAY(A453,2),"月","火","水","木","金","土","日"))</f>
        <v/>
      </c>
      <c r="O453" s="5" t="str">
        <f aca="false">IF(B453="","",IF(HOUR(B453)&lt;6,"深夜(0-5時)",IF(HOUR(B453)&lt;11,"朝(6-10時)",IF(HOUR(B453)&lt;15,"昼(11-14時)",IF(HOUR(B453)&lt;19,"夕方(15-18時)","夜(19-23時)")))))</f>
        <v/>
      </c>
      <c r="P453" s="32" t="str">
        <f aca="false">IF(M453="","",M453+ROW()/1000000000)</f>
        <v/>
      </c>
    </row>
    <row r="454" customFormat="false" ht="15" hidden="false" customHeight="false" outlineLevel="0" collapsed="false">
      <c r="A454" s="25"/>
      <c r="B454" s="26"/>
      <c r="C454" s="27"/>
      <c r="D454" s="28"/>
      <c r="E454" s="28"/>
      <c r="F454" s="29"/>
      <c r="G454" s="29"/>
      <c r="H454" s="29"/>
      <c r="I454" s="29"/>
      <c r="J454" s="29"/>
      <c r="K454" s="29"/>
      <c r="L454" s="30" t="str">
        <f aca="false">IF(A454="","",SUM(G454:K454))</f>
        <v/>
      </c>
      <c r="M454" s="31" t="str">
        <f aca="false">IF(A454="","",IF(F454=0,0,L454/F454))</f>
        <v/>
      </c>
      <c r="N454" s="5" t="str">
        <f aca="false">IF(A454="","",CHOOSE(WEEKDAY(A454,2),"月","火","水","木","金","土","日"))</f>
        <v/>
      </c>
      <c r="O454" s="5" t="str">
        <f aca="false">IF(B454="","",IF(HOUR(B454)&lt;6,"深夜(0-5時)",IF(HOUR(B454)&lt;11,"朝(6-10時)",IF(HOUR(B454)&lt;15,"昼(11-14時)",IF(HOUR(B454)&lt;19,"夕方(15-18時)","夜(19-23時)")))))</f>
        <v/>
      </c>
      <c r="P454" s="32" t="str">
        <f aca="false">IF(M454="","",M454+ROW()/1000000000)</f>
        <v/>
      </c>
    </row>
    <row r="455" customFormat="false" ht="15" hidden="false" customHeight="false" outlineLevel="0" collapsed="false">
      <c r="A455" s="25"/>
      <c r="B455" s="26"/>
      <c r="C455" s="27"/>
      <c r="D455" s="28"/>
      <c r="E455" s="28"/>
      <c r="F455" s="29"/>
      <c r="G455" s="29"/>
      <c r="H455" s="29"/>
      <c r="I455" s="29"/>
      <c r="J455" s="29"/>
      <c r="K455" s="29"/>
      <c r="L455" s="30" t="str">
        <f aca="false">IF(A455="","",SUM(G455:K455))</f>
        <v/>
      </c>
      <c r="M455" s="31" t="str">
        <f aca="false">IF(A455="","",IF(F455=0,0,L455/F455))</f>
        <v/>
      </c>
      <c r="N455" s="5" t="str">
        <f aca="false">IF(A455="","",CHOOSE(WEEKDAY(A455,2),"月","火","水","木","金","土","日"))</f>
        <v/>
      </c>
      <c r="O455" s="5" t="str">
        <f aca="false">IF(B455="","",IF(HOUR(B455)&lt;6,"深夜(0-5時)",IF(HOUR(B455)&lt;11,"朝(6-10時)",IF(HOUR(B455)&lt;15,"昼(11-14時)",IF(HOUR(B455)&lt;19,"夕方(15-18時)","夜(19-23時)")))))</f>
        <v/>
      </c>
      <c r="P455" s="32" t="str">
        <f aca="false">IF(M455="","",M455+ROW()/1000000000)</f>
        <v/>
      </c>
    </row>
    <row r="456" customFormat="false" ht="15" hidden="false" customHeight="false" outlineLevel="0" collapsed="false">
      <c r="A456" s="25"/>
      <c r="B456" s="26"/>
      <c r="C456" s="27"/>
      <c r="D456" s="28"/>
      <c r="E456" s="28"/>
      <c r="F456" s="29"/>
      <c r="G456" s="29"/>
      <c r="H456" s="29"/>
      <c r="I456" s="29"/>
      <c r="J456" s="29"/>
      <c r="K456" s="29"/>
      <c r="L456" s="30" t="str">
        <f aca="false">IF(A456="","",SUM(G456:K456))</f>
        <v/>
      </c>
      <c r="M456" s="31" t="str">
        <f aca="false">IF(A456="","",IF(F456=0,0,L456/F456))</f>
        <v/>
      </c>
      <c r="N456" s="5" t="str">
        <f aca="false">IF(A456="","",CHOOSE(WEEKDAY(A456,2),"月","火","水","木","金","土","日"))</f>
        <v/>
      </c>
      <c r="O456" s="5" t="str">
        <f aca="false">IF(B456="","",IF(HOUR(B456)&lt;6,"深夜(0-5時)",IF(HOUR(B456)&lt;11,"朝(6-10時)",IF(HOUR(B456)&lt;15,"昼(11-14時)",IF(HOUR(B456)&lt;19,"夕方(15-18時)","夜(19-23時)")))))</f>
        <v/>
      </c>
      <c r="P456" s="32" t="str">
        <f aca="false">IF(M456="","",M456+ROW()/1000000000)</f>
        <v/>
      </c>
    </row>
    <row r="457" customFormat="false" ht="15" hidden="false" customHeight="false" outlineLevel="0" collapsed="false">
      <c r="A457" s="25"/>
      <c r="B457" s="26"/>
      <c r="C457" s="27"/>
      <c r="D457" s="28"/>
      <c r="E457" s="28"/>
      <c r="F457" s="29"/>
      <c r="G457" s="29"/>
      <c r="H457" s="29"/>
      <c r="I457" s="29"/>
      <c r="J457" s="29"/>
      <c r="K457" s="29"/>
      <c r="L457" s="30" t="str">
        <f aca="false">IF(A457="","",SUM(G457:K457))</f>
        <v/>
      </c>
      <c r="M457" s="31" t="str">
        <f aca="false">IF(A457="","",IF(F457=0,0,L457/F457))</f>
        <v/>
      </c>
      <c r="N457" s="5" t="str">
        <f aca="false">IF(A457="","",CHOOSE(WEEKDAY(A457,2),"月","火","水","木","金","土","日"))</f>
        <v/>
      </c>
      <c r="O457" s="5" t="str">
        <f aca="false">IF(B457="","",IF(HOUR(B457)&lt;6,"深夜(0-5時)",IF(HOUR(B457)&lt;11,"朝(6-10時)",IF(HOUR(B457)&lt;15,"昼(11-14時)",IF(HOUR(B457)&lt;19,"夕方(15-18時)","夜(19-23時)")))))</f>
        <v/>
      </c>
      <c r="P457" s="32" t="str">
        <f aca="false">IF(M457="","",M457+ROW()/1000000000)</f>
        <v/>
      </c>
    </row>
    <row r="458" customFormat="false" ht="15" hidden="false" customHeight="false" outlineLevel="0" collapsed="false">
      <c r="A458" s="25"/>
      <c r="B458" s="26"/>
      <c r="C458" s="27"/>
      <c r="D458" s="28"/>
      <c r="E458" s="28"/>
      <c r="F458" s="29"/>
      <c r="G458" s="29"/>
      <c r="H458" s="29"/>
      <c r="I458" s="29"/>
      <c r="J458" s="29"/>
      <c r="K458" s="29"/>
      <c r="L458" s="30" t="str">
        <f aca="false">IF(A458="","",SUM(G458:K458))</f>
        <v/>
      </c>
      <c r="M458" s="31" t="str">
        <f aca="false">IF(A458="","",IF(F458=0,0,L458/F458))</f>
        <v/>
      </c>
      <c r="N458" s="5" t="str">
        <f aca="false">IF(A458="","",CHOOSE(WEEKDAY(A458,2),"月","火","水","木","金","土","日"))</f>
        <v/>
      </c>
      <c r="O458" s="5" t="str">
        <f aca="false">IF(B458="","",IF(HOUR(B458)&lt;6,"深夜(0-5時)",IF(HOUR(B458)&lt;11,"朝(6-10時)",IF(HOUR(B458)&lt;15,"昼(11-14時)",IF(HOUR(B458)&lt;19,"夕方(15-18時)","夜(19-23時)")))))</f>
        <v/>
      </c>
      <c r="P458" s="32" t="str">
        <f aca="false">IF(M458="","",M458+ROW()/1000000000)</f>
        <v/>
      </c>
    </row>
    <row r="459" customFormat="false" ht="15" hidden="false" customHeight="false" outlineLevel="0" collapsed="false">
      <c r="A459" s="25"/>
      <c r="B459" s="26"/>
      <c r="C459" s="27"/>
      <c r="D459" s="28"/>
      <c r="E459" s="28"/>
      <c r="F459" s="29"/>
      <c r="G459" s="29"/>
      <c r="H459" s="29"/>
      <c r="I459" s="29"/>
      <c r="J459" s="29"/>
      <c r="K459" s="29"/>
      <c r="L459" s="30" t="str">
        <f aca="false">IF(A459="","",SUM(G459:K459))</f>
        <v/>
      </c>
      <c r="M459" s="31" t="str">
        <f aca="false">IF(A459="","",IF(F459=0,0,L459/F459))</f>
        <v/>
      </c>
      <c r="N459" s="5" t="str">
        <f aca="false">IF(A459="","",CHOOSE(WEEKDAY(A459,2),"月","火","水","木","金","土","日"))</f>
        <v/>
      </c>
      <c r="O459" s="5" t="str">
        <f aca="false">IF(B459="","",IF(HOUR(B459)&lt;6,"深夜(0-5時)",IF(HOUR(B459)&lt;11,"朝(6-10時)",IF(HOUR(B459)&lt;15,"昼(11-14時)",IF(HOUR(B459)&lt;19,"夕方(15-18時)","夜(19-23時)")))))</f>
        <v/>
      </c>
      <c r="P459" s="32" t="str">
        <f aca="false">IF(M459="","",M459+ROW()/1000000000)</f>
        <v/>
      </c>
    </row>
    <row r="460" customFormat="false" ht="15" hidden="false" customHeight="false" outlineLevel="0" collapsed="false">
      <c r="A460" s="25"/>
      <c r="B460" s="26"/>
      <c r="C460" s="27"/>
      <c r="D460" s="28"/>
      <c r="E460" s="28"/>
      <c r="F460" s="29"/>
      <c r="G460" s="29"/>
      <c r="H460" s="29"/>
      <c r="I460" s="29"/>
      <c r="J460" s="29"/>
      <c r="K460" s="29"/>
      <c r="L460" s="30" t="str">
        <f aca="false">IF(A460="","",SUM(G460:K460))</f>
        <v/>
      </c>
      <c r="M460" s="31" t="str">
        <f aca="false">IF(A460="","",IF(F460=0,0,L460/F460))</f>
        <v/>
      </c>
      <c r="N460" s="5" t="str">
        <f aca="false">IF(A460="","",CHOOSE(WEEKDAY(A460,2),"月","火","水","木","金","土","日"))</f>
        <v/>
      </c>
      <c r="O460" s="5" t="str">
        <f aca="false">IF(B460="","",IF(HOUR(B460)&lt;6,"深夜(0-5時)",IF(HOUR(B460)&lt;11,"朝(6-10時)",IF(HOUR(B460)&lt;15,"昼(11-14時)",IF(HOUR(B460)&lt;19,"夕方(15-18時)","夜(19-23時)")))))</f>
        <v/>
      </c>
      <c r="P460" s="32" t="str">
        <f aca="false">IF(M460="","",M460+ROW()/1000000000)</f>
        <v/>
      </c>
    </row>
    <row r="461" customFormat="false" ht="15" hidden="false" customHeight="false" outlineLevel="0" collapsed="false">
      <c r="A461" s="25"/>
      <c r="B461" s="26"/>
      <c r="C461" s="27"/>
      <c r="D461" s="28"/>
      <c r="E461" s="28"/>
      <c r="F461" s="29"/>
      <c r="G461" s="29"/>
      <c r="H461" s="29"/>
      <c r="I461" s="29"/>
      <c r="J461" s="29"/>
      <c r="K461" s="29"/>
      <c r="L461" s="30" t="str">
        <f aca="false">IF(A461="","",SUM(G461:K461))</f>
        <v/>
      </c>
      <c r="M461" s="31" t="str">
        <f aca="false">IF(A461="","",IF(F461=0,0,L461/F461))</f>
        <v/>
      </c>
      <c r="N461" s="5" t="str">
        <f aca="false">IF(A461="","",CHOOSE(WEEKDAY(A461,2),"月","火","水","木","金","土","日"))</f>
        <v/>
      </c>
      <c r="O461" s="5" t="str">
        <f aca="false">IF(B461="","",IF(HOUR(B461)&lt;6,"深夜(0-5時)",IF(HOUR(B461)&lt;11,"朝(6-10時)",IF(HOUR(B461)&lt;15,"昼(11-14時)",IF(HOUR(B461)&lt;19,"夕方(15-18時)","夜(19-23時)")))))</f>
        <v/>
      </c>
      <c r="P461" s="32" t="str">
        <f aca="false">IF(M461="","",M461+ROW()/1000000000)</f>
        <v/>
      </c>
    </row>
    <row r="462" customFormat="false" ht="15" hidden="false" customHeight="false" outlineLevel="0" collapsed="false">
      <c r="A462" s="25"/>
      <c r="B462" s="26"/>
      <c r="C462" s="27"/>
      <c r="D462" s="28"/>
      <c r="E462" s="28"/>
      <c r="F462" s="29"/>
      <c r="G462" s="29"/>
      <c r="H462" s="29"/>
      <c r="I462" s="29"/>
      <c r="J462" s="29"/>
      <c r="K462" s="29"/>
      <c r="L462" s="30" t="str">
        <f aca="false">IF(A462="","",SUM(G462:K462))</f>
        <v/>
      </c>
      <c r="M462" s="31" t="str">
        <f aca="false">IF(A462="","",IF(F462=0,0,L462/F462))</f>
        <v/>
      </c>
      <c r="N462" s="5" t="str">
        <f aca="false">IF(A462="","",CHOOSE(WEEKDAY(A462,2),"月","火","水","木","金","土","日"))</f>
        <v/>
      </c>
      <c r="O462" s="5" t="str">
        <f aca="false">IF(B462="","",IF(HOUR(B462)&lt;6,"深夜(0-5時)",IF(HOUR(B462)&lt;11,"朝(6-10時)",IF(HOUR(B462)&lt;15,"昼(11-14時)",IF(HOUR(B462)&lt;19,"夕方(15-18時)","夜(19-23時)")))))</f>
        <v/>
      </c>
      <c r="P462" s="32" t="str">
        <f aca="false">IF(M462="","",M462+ROW()/1000000000)</f>
        <v/>
      </c>
    </row>
    <row r="463" customFormat="false" ht="15" hidden="false" customHeight="false" outlineLevel="0" collapsed="false">
      <c r="A463" s="25"/>
      <c r="B463" s="26"/>
      <c r="C463" s="27"/>
      <c r="D463" s="28"/>
      <c r="E463" s="28"/>
      <c r="F463" s="29"/>
      <c r="G463" s="29"/>
      <c r="H463" s="29"/>
      <c r="I463" s="29"/>
      <c r="J463" s="29"/>
      <c r="K463" s="29"/>
      <c r="L463" s="30" t="str">
        <f aca="false">IF(A463="","",SUM(G463:K463))</f>
        <v/>
      </c>
      <c r="M463" s="31" t="str">
        <f aca="false">IF(A463="","",IF(F463=0,0,L463/F463))</f>
        <v/>
      </c>
      <c r="N463" s="5" t="str">
        <f aca="false">IF(A463="","",CHOOSE(WEEKDAY(A463,2),"月","火","水","木","金","土","日"))</f>
        <v/>
      </c>
      <c r="O463" s="5" t="str">
        <f aca="false">IF(B463="","",IF(HOUR(B463)&lt;6,"深夜(0-5時)",IF(HOUR(B463)&lt;11,"朝(6-10時)",IF(HOUR(B463)&lt;15,"昼(11-14時)",IF(HOUR(B463)&lt;19,"夕方(15-18時)","夜(19-23時)")))))</f>
        <v/>
      </c>
      <c r="P463" s="32" t="str">
        <f aca="false">IF(M463="","",M463+ROW()/1000000000)</f>
        <v/>
      </c>
    </row>
    <row r="464" customFormat="false" ht="15" hidden="false" customHeight="false" outlineLevel="0" collapsed="false">
      <c r="A464" s="25"/>
      <c r="B464" s="26"/>
      <c r="C464" s="27"/>
      <c r="D464" s="28"/>
      <c r="E464" s="28"/>
      <c r="F464" s="29"/>
      <c r="G464" s="29"/>
      <c r="H464" s="29"/>
      <c r="I464" s="29"/>
      <c r="J464" s="29"/>
      <c r="K464" s="29"/>
      <c r="L464" s="30" t="str">
        <f aca="false">IF(A464="","",SUM(G464:K464))</f>
        <v/>
      </c>
      <c r="M464" s="31" t="str">
        <f aca="false">IF(A464="","",IF(F464=0,0,L464/F464))</f>
        <v/>
      </c>
      <c r="N464" s="5" t="str">
        <f aca="false">IF(A464="","",CHOOSE(WEEKDAY(A464,2),"月","火","水","木","金","土","日"))</f>
        <v/>
      </c>
      <c r="O464" s="5" t="str">
        <f aca="false">IF(B464="","",IF(HOUR(B464)&lt;6,"深夜(0-5時)",IF(HOUR(B464)&lt;11,"朝(6-10時)",IF(HOUR(B464)&lt;15,"昼(11-14時)",IF(HOUR(B464)&lt;19,"夕方(15-18時)","夜(19-23時)")))))</f>
        <v/>
      </c>
      <c r="P464" s="32" t="str">
        <f aca="false">IF(M464="","",M464+ROW()/1000000000)</f>
        <v/>
      </c>
    </row>
    <row r="465" customFormat="false" ht="15" hidden="false" customHeight="false" outlineLevel="0" collapsed="false">
      <c r="A465" s="25"/>
      <c r="B465" s="26"/>
      <c r="C465" s="27"/>
      <c r="D465" s="28"/>
      <c r="E465" s="28"/>
      <c r="F465" s="29"/>
      <c r="G465" s="29"/>
      <c r="H465" s="29"/>
      <c r="I465" s="29"/>
      <c r="J465" s="29"/>
      <c r="K465" s="29"/>
      <c r="L465" s="30" t="str">
        <f aca="false">IF(A465="","",SUM(G465:K465))</f>
        <v/>
      </c>
      <c r="M465" s="31" t="str">
        <f aca="false">IF(A465="","",IF(F465=0,0,L465/F465))</f>
        <v/>
      </c>
      <c r="N465" s="5" t="str">
        <f aca="false">IF(A465="","",CHOOSE(WEEKDAY(A465,2),"月","火","水","木","金","土","日"))</f>
        <v/>
      </c>
      <c r="O465" s="5" t="str">
        <f aca="false">IF(B465="","",IF(HOUR(B465)&lt;6,"深夜(0-5時)",IF(HOUR(B465)&lt;11,"朝(6-10時)",IF(HOUR(B465)&lt;15,"昼(11-14時)",IF(HOUR(B465)&lt;19,"夕方(15-18時)","夜(19-23時)")))))</f>
        <v/>
      </c>
      <c r="P465" s="32" t="str">
        <f aca="false">IF(M465="","",M465+ROW()/1000000000)</f>
        <v/>
      </c>
    </row>
    <row r="466" customFormat="false" ht="15" hidden="false" customHeight="false" outlineLevel="0" collapsed="false">
      <c r="A466" s="25"/>
      <c r="B466" s="26"/>
      <c r="C466" s="27"/>
      <c r="D466" s="28"/>
      <c r="E466" s="28"/>
      <c r="F466" s="29"/>
      <c r="G466" s="29"/>
      <c r="H466" s="29"/>
      <c r="I466" s="29"/>
      <c r="J466" s="29"/>
      <c r="K466" s="29"/>
      <c r="L466" s="30" t="str">
        <f aca="false">IF(A466="","",SUM(G466:K466))</f>
        <v/>
      </c>
      <c r="M466" s="31" t="str">
        <f aca="false">IF(A466="","",IF(F466=0,0,L466/F466))</f>
        <v/>
      </c>
      <c r="N466" s="5" t="str">
        <f aca="false">IF(A466="","",CHOOSE(WEEKDAY(A466,2),"月","火","水","木","金","土","日"))</f>
        <v/>
      </c>
      <c r="O466" s="5" t="str">
        <f aca="false">IF(B466="","",IF(HOUR(B466)&lt;6,"深夜(0-5時)",IF(HOUR(B466)&lt;11,"朝(6-10時)",IF(HOUR(B466)&lt;15,"昼(11-14時)",IF(HOUR(B466)&lt;19,"夕方(15-18時)","夜(19-23時)")))))</f>
        <v/>
      </c>
      <c r="P466" s="32" t="str">
        <f aca="false">IF(M466="","",M466+ROW()/1000000000)</f>
        <v/>
      </c>
    </row>
    <row r="467" customFormat="false" ht="15" hidden="false" customHeight="false" outlineLevel="0" collapsed="false">
      <c r="A467" s="25"/>
      <c r="B467" s="26"/>
      <c r="C467" s="27"/>
      <c r="D467" s="28"/>
      <c r="E467" s="28"/>
      <c r="F467" s="29"/>
      <c r="G467" s="29"/>
      <c r="H467" s="29"/>
      <c r="I467" s="29"/>
      <c r="J467" s="29"/>
      <c r="K467" s="29"/>
      <c r="L467" s="30" t="str">
        <f aca="false">IF(A467="","",SUM(G467:K467))</f>
        <v/>
      </c>
      <c r="M467" s="31" t="str">
        <f aca="false">IF(A467="","",IF(F467=0,0,L467/F467))</f>
        <v/>
      </c>
      <c r="N467" s="5" t="str">
        <f aca="false">IF(A467="","",CHOOSE(WEEKDAY(A467,2),"月","火","水","木","金","土","日"))</f>
        <v/>
      </c>
      <c r="O467" s="5" t="str">
        <f aca="false">IF(B467="","",IF(HOUR(B467)&lt;6,"深夜(0-5時)",IF(HOUR(B467)&lt;11,"朝(6-10時)",IF(HOUR(B467)&lt;15,"昼(11-14時)",IF(HOUR(B467)&lt;19,"夕方(15-18時)","夜(19-23時)")))))</f>
        <v/>
      </c>
      <c r="P467" s="32" t="str">
        <f aca="false">IF(M467="","",M467+ROW()/1000000000)</f>
        <v/>
      </c>
    </row>
    <row r="468" customFormat="false" ht="15" hidden="false" customHeight="false" outlineLevel="0" collapsed="false">
      <c r="A468" s="25"/>
      <c r="B468" s="26"/>
      <c r="C468" s="27"/>
      <c r="D468" s="28"/>
      <c r="E468" s="28"/>
      <c r="F468" s="29"/>
      <c r="G468" s="29"/>
      <c r="H468" s="29"/>
      <c r="I468" s="29"/>
      <c r="J468" s="29"/>
      <c r="K468" s="29"/>
      <c r="L468" s="30" t="str">
        <f aca="false">IF(A468="","",SUM(G468:K468))</f>
        <v/>
      </c>
      <c r="M468" s="31" t="str">
        <f aca="false">IF(A468="","",IF(F468=0,0,L468/F468))</f>
        <v/>
      </c>
      <c r="N468" s="5" t="str">
        <f aca="false">IF(A468="","",CHOOSE(WEEKDAY(A468,2),"月","火","水","木","金","土","日"))</f>
        <v/>
      </c>
      <c r="O468" s="5" t="str">
        <f aca="false">IF(B468="","",IF(HOUR(B468)&lt;6,"深夜(0-5時)",IF(HOUR(B468)&lt;11,"朝(6-10時)",IF(HOUR(B468)&lt;15,"昼(11-14時)",IF(HOUR(B468)&lt;19,"夕方(15-18時)","夜(19-23時)")))))</f>
        <v/>
      </c>
      <c r="P468" s="32" t="str">
        <f aca="false">IF(M468="","",M468+ROW()/1000000000)</f>
        <v/>
      </c>
    </row>
    <row r="469" customFormat="false" ht="15" hidden="false" customHeight="false" outlineLevel="0" collapsed="false">
      <c r="A469" s="25"/>
      <c r="B469" s="26"/>
      <c r="C469" s="27"/>
      <c r="D469" s="28"/>
      <c r="E469" s="28"/>
      <c r="F469" s="29"/>
      <c r="G469" s="29"/>
      <c r="H469" s="29"/>
      <c r="I469" s="29"/>
      <c r="J469" s="29"/>
      <c r="K469" s="29"/>
      <c r="L469" s="30" t="str">
        <f aca="false">IF(A469="","",SUM(G469:K469))</f>
        <v/>
      </c>
      <c r="M469" s="31" t="str">
        <f aca="false">IF(A469="","",IF(F469=0,0,L469/F469))</f>
        <v/>
      </c>
      <c r="N469" s="5" t="str">
        <f aca="false">IF(A469="","",CHOOSE(WEEKDAY(A469,2),"月","火","水","木","金","土","日"))</f>
        <v/>
      </c>
      <c r="O469" s="5" t="str">
        <f aca="false">IF(B469="","",IF(HOUR(B469)&lt;6,"深夜(0-5時)",IF(HOUR(B469)&lt;11,"朝(6-10時)",IF(HOUR(B469)&lt;15,"昼(11-14時)",IF(HOUR(B469)&lt;19,"夕方(15-18時)","夜(19-23時)")))))</f>
        <v/>
      </c>
      <c r="P469" s="32" t="str">
        <f aca="false">IF(M469="","",M469+ROW()/1000000000)</f>
        <v/>
      </c>
    </row>
    <row r="470" customFormat="false" ht="15" hidden="false" customHeight="false" outlineLevel="0" collapsed="false">
      <c r="A470" s="25"/>
      <c r="B470" s="26"/>
      <c r="C470" s="27"/>
      <c r="D470" s="28"/>
      <c r="E470" s="28"/>
      <c r="F470" s="29"/>
      <c r="G470" s="29"/>
      <c r="H470" s="29"/>
      <c r="I470" s="29"/>
      <c r="J470" s="29"/>
      <c r="K470" s="29"/>
      <c r="L470" s="30" t="str">
        <f aca="false">IF(A470="","",SUM(G470:K470))</f>
        <v/>
      </c>
      <c r="M470" s="31" t="str">
        <f aca="false">IF(A470="","",IF(F470=0,0,L470/F470))</f>
        <v/>
      </c>
      <c r="N470" s="5" t="str">
        <f aca="false">IF(A470="","",CHOOSE(WEEKDAY(A470,2),"月","火","水","木","金","土","日"))</f>
        <v/>
      </c>
      <c r="O470" s="5" t="str">
        <f aca="false">IF(B470="","",IF(HOUR(B470)&lt;6,"深夜(0-5時)",IF(HOUR(B470)&lt;11,"朝(6-10時)",IF(HOUR(B470)&lt;15,"昼(11-14時)",IF(HOUR(B470)&lt;19,"夕方(15-18時)","夜(19-23時)")))))</f>
        <v/>
      </c>
      <c r="P470" s="32" t="str">
        <f aca="false">IF(M470="","",M470+ROW()/1000000000)</f>
        <v/>
      </c>
    </row>
    <row r="471" customFormat="false" ht="15" hidden="false" customHeight="false" outlineLevel="0" collapsed="false">
      <c r="A471" s="25"/>
      <c r="B471" s="26"/>
      <c r="C471" s="27"/>
      <c r="D471" s="28"/>
      <c r="E471" s="28"/>
      <c r="F471" s="29"/>
      <c r="G471" s="29"/>
      <c r="H471" s="29"/>
      <c r="I471" s="29"/>
      <c r="J471" s="29"/>
      <c r="K471" s="29"/>
      <c r="L471" s="30" t="str">
        <f aca="false">IF(A471="","",SUM(G471:K471))</f>
        <v/>
      </c>
      <c r="M471" s="31" t="str">
        <f aca="false">IF(A471="","",IF(F471=0,0,L471/F471))</f>
        <v/>
      </c>
      <c r="N471" s="5" t="str">
        <f aca="false">IF(A471="","",CHOOSE(WEEKDAY(A471,2),"月","火","水","木","金","土","日"))</f>
        <v/>
      </c>
      <c r="O471" s="5" t="str">
        <f aca="false">IF(B471="","",IF(HOUR(B471)&lt;6,"深夜(0-5時)",IF(HOUR(B471)&lt;11,"朝(6-10時)",IF(HOUR(B471)&lt;15,"昼(11-14時)",IF(HOUR(B471)&lt;19,"夕方(15-18時)","夜(19-23時)")))))</f>
        <v/>
      </c>
      <c r="P471" s="32" t="str">
        <f aca="false">IF(M471="","",M471+ROW()/1000000000)</f>
        <v/>
      </c>
    </row>
    <row r="472" customFormat="false" ht="15" hidden="false" customHeight="false" outlineLevel="0" collapsed="false">
      <c r="A472" s="25"/>
      <c r="B472" s="26"/>
      <c r="C472" s="27"/>
      <c r="D472" s="28"/>
      <c r="E472" s="28"/>
      <c r="F472" s="29"/>
      <c r="G472" s="29"/>
      <c r="H472" s="29"/>
      <c r="I472" s="29"/>
      <c r="J472" s="29"/>
      <c r="K472" s="29"/>
      <c r="L472" s="30" t="str">
        <f aca="false">IF(A472="","",SUM(G472:K472))</f>
        <v/>
      </c>
      <c r="M472" s="31" t="str">
        <f aca="false">IF(A472="","",IF(F472=0,0,L472/F472))</f>
        <v/>
      </c>
      <c r="N472" s="5" t="str">
        <f aca="false">IF(A472="","",CHOOSE(WEEKDAY(A472,2),"月","火","水","木","金","土","日"))</f>
        <v/>
      </c>
      <c r="O472" s="5" t="str">
        <f aca="false">IF(B472="","",IF(HOUR(B472)&lt;6,"深夜(0-5時)",IF(HOUR(B472)&lt;11,"朝(6-10時)",IF(HOUR(B472)&lt;15,"昼(11-14時)",IF(HOUR(B472)&lt;19,"夕方(15-18時)","夜(19-23時)")))))</f>
        <v/>
      </c>
      <c r="P472" s="32" t="str">
        <f aca="false">IF(M472="","",M472+ROW()/1000000000)</f>
        <v/>
      </c>
    </row>
    <row r="473" customFormat="false" ht="15" hidden="false" customHeight="false" outlineLevel="0" collapsed="false">
      <c r="A473" s="25"/>
      <c r="B473" s="26"/>
      <c r="C473" s="27"/>
      <c r="D473" s="28"/>
      <c r="E473" s="28"/>
      <c r="F473" s="29"/>
      <c r="G473" s="29"/>
      <c r="H473" s="29"/>
      <c r="I473" s="29"/>
      <c r="J473" s="29"/>
      <c r="K473" s="29"/>
      <c r="L473" s="30" t="str">
        <f aca="false">IF(A473="","",SUM(G473:K473))</f>
        <v/>
      </c>
      <c r="M473" s="31" t="str">
        <f aca="false">IF(A473="","",IF(F473=0,0,L473/F473))</f>
        <v/>
      </c>
      <c r="N473" s="5" t="str">
        <f aca="false">IF(A473="","",CHOOSE(WEEKDAY(A473,2),"月","火","水","木","金","土","日"))</f>
        <v/>
      </c>
      <c r="O473" s="5" t="str">
        <f aca="false">IF(B473="","",IF(HOUR(B473)&lt;6,"深夜(0-5時)",IF(HOUR(B473)&lt;11,"朝(6-10時)",IF(HOUR(B473)&lt;15,"昼(11-14時)",IF(HOUR(B473)&lt;19,"夕方(15-18時)","夜(19-23時)")))))</f>
        <v/>
      </c>
      <c r="P473" s="32" t="str">
        <f aca="false">IF(M473="","",M473+ROW()/1000000000)</f>
        <v/>
      </c>
    </row>
    <row r="474" customFormat="false" ht="15" hidden="false" customHeight="false" outlineLevel="0" collapsed="false">
      <c r="A474" s="25"/>
      <c r="B474" s="26"/>
      <c r="C474" s="27"/>
      <c r="D474" s="28"/>
      <c r="E474" s="28"/>
      <c r="F474" s="29"/>
      <c r="G474" s="29"/>
      <c r="H474" s="29"/>
      <c r="I474" s="29"/>
      <c r="J474" s="29"/>
      <c r="K474" s="29"/>
      <c r="L474" s="30" t="str">
        <f aca="false">IF(A474="","",SUM(G474:K474))</f>
        <v/>
      </c>
      <c r="M474" s="31" t="str">
        <f aca="false">IF(A474="","",IF(F474=0,0,L474/F474))</f>
        <v/>
      </c>
      <c r="N474" s="5" t="str">
        <f aca="false">IF(A474="","",CHOOSE(WEEKDAY(A474,2),"月","火","水","木","金","土","日"))</f>
        <v/>
      </c>
      <c r="O474" s="5" t="str">
        <f aca="false">IF(B474="","",IF(HOUR(B474)&lt;6,"深夜(0-5時)",IF(HOUR(B474)&lt;11,"朝(6-10時)",IF(HOUR(B474)&lt;15,"昼(11-14時)",IF(HOUR(B474)&lt;19,"夕方(15-18時)","夜(19-23時)")))))</f>
        <v/>
      </c>
      <c r="P474" s="32" t="str">
        <f aca="false">IF(M474="","",M474+ROW()/1000000000)</f>
        <v/>
      </c>
    </row>
    <row r="475" customFormat="false" ht="15" hidden="false" customHeight="false" outlineLevel="0" collapsed="false">
      <c r="A475" s="25"/>
      <c r="B475" s="26"/>
      <c r="C475" s="27"/>
      <c r="D475" s="28"/>
      <c r="E475" s="28"/>
      <c r="F475" s="29"/>
      <c r="G475" s="29"/>
      <c r="H475" s="29"/>
      <c r="I475" s="29"/>
      <c r="J475" s="29"/>
      <c r="K475" s="29"/>
      <c r="L475" s="30" t="str">
        <f aca="false">IF(A475="","",SUM(G475:K475))</f>
        <v/>
      </c>
      <c r="M475" s="31" t="str">
        <f aca="false">IF(A475="","",IF(F475=0,0,L475/F475))</f>
        <v/>
      </c>
      <c r="N475" s="5" t="str">
        <f aca="false">IF(A475="","",CHOOSE(WEEKDAY(A475,2),"月","火","水","木","金","土","日"))</f>
        <v/>
      </c>
      <c r="O475" s="5" t="str">
        <f aca="false">IF(B475="","",IF(HOUR(B475)&lt;6,"深夜(0-5時)",IF(HOUR(B475)&lt;11,"朝(6-10時)",IF(HOUR(B475)&lt;15,"昼(11-14時)",IF(HOUR(B475)&lt;19,"夕方(15-18時)","夜(19-23時)")))))</f>
        <v/>
      </c>
      <c r="P475" s="32" t="str">
        <f aca="false">IF(M475="","",M475+ROW()/1000000000)</f>
        <v/>
      </c>
    </row>
    <row r="476" customFormat="false" ht="15" hidden="false" customHeight="false" outlineLevel="0" collapsed="false">
      <c r="A476" s="25"/>
      <c r="B476" s="26"/>
      <c r="C476" s="27"/>
      <c r="D476" s="28"/>
      <c r="E476" s="28"/>
      <c r="F476" s="29"/>
      <c r="G476" s="29"/>
      <c r="H476" s="29"/>
      <c r="I476" s="29"/>
      <c r="J476" s="29"/>
      <c r="K476" s="29"/>
      <c r="L476" s="30" t="str">
        <f aca="false">IF(A476="","",SUM(G476:K476))</f>
        <v/>
      </c>
      <c r="M476" s="31" t="str">
        <f aca="false">IF(A476="","",IF(F476=0,0,L476/F476))</f>
        <v/>
      </c>
      <c r="N476" s="5" t="str">
        <f aca="false">IF(A476="","",CHOOSE(WEEKDAY(A476,2),"月","火","水","木","金","土","日"))</f>
        <v/>
      </c>
      <c r="O476" s="5" t="str">
        <f aca="false">IF(B476="","",IF(HOUR(B476)&lt;6,"深夜(0-5時)",IF(HOUR(B476)&lt;11,"朝(6-10時)",IF(HOUR(B476)&lt;15,"昼(11-14時)",IF(HOUR(B476)&lt;19,"夕方(15-18時)","夜(19-23時)")))))</f>
        <v/>
      </c>
      <c r="P476" s="32" t="str">
        <f aca="false">IF(M476="","",M476+ROW()/1000000000)</f>
        <v/>
      </c>
    </row>
    <row r="477" customFormat="false" ht="15" hidden="false" customHeight="false" outlineLevel="0" collapsed="false">
      <c r="A477" s="25"/>
      <c r="B477" s="26"/>
      <c r="C477" s="27"/>
      <c r="D477" s="28"/>
      <c r="E477" s="28"/>
      <c r="F477" s="29"/>
      <c r="G477" s="29"/>
      <c r="H477" s="29"/>
      <c r="I477" s="29"/>
      <c r="J477" s="29"/>
      <c r="K477" s="29"/>
      <c r="L477" s="30" t="str">
        <f aca="false">IF(A477="","",SUM(G477:K477))</f>
        <v/>
      </c>
      <c r="M477" s="31" t="str">
        <f aca="false">IF(A477="","",IF(F477=0,0,L477/F477))</f>
        <v/>
      </c>
      <c r="N477" s="5" t="str">
        <f aca="false">IF(A477="","",CHOOSE(WEEKDAY(A477,2),"月","火","水","木","金","土","日"))</f>
        <v/>
      </c>
      <c r="O477" s="5" t="str">
        <f aca="false">IF(B477="","",IF(HOUR(B477)&lt;6,"深夜(0-5時)",IF(HOUR(B477)&lt;11,"朝(6-10時)",IF(HOUR(B477)&lt;15,"昼(11-14時)",IF(HOUR(B477)&lt;19,"夕方(15-18時)","夜(19-23時)")))))</f>
        <v/>
      </c>
      <c r="P477" s="32" t="str">
        <f aca="false">IF(M477="","",M477+ROW()/1000000000)</f>
        <v/>
      </c>
    </row>
    <row r="478" customFormat="false" ht="15" hidden="false" customHeight="false" outlineLevel="0" collapsed="false">
      <c r="A478" s="25"/>
      <c r="B478" s="26"/>
      <c r="C478" s="27"/>
      <c r="D478" s="28"/>
      <c r="E478" s="28"/>
      <c r="F478" s="29"/>
      <c r="G478" s="29"/>
      <c r="H478" s="29"/>
      <c r="I478" s="29"/>
      <c r="J478" s="29"/>
      <c r="K478" s="29"/>
      <c r="L478" s="30" t="str">
        <f aca="false">IF(A478="","",SUM(G478:K478))</f>
        <v/>
      </c>
      <c r="M478" s="31" t="str">
        <f aca="false">IF(A478="","",IF(F478=0,0,L478/F478))</f>
        <v/>
      </c>
      <c r="N478" s="5" t="str">
        <f aca="false">IF(A478="","",CHOOSE(WEEKDAY(A478,2),"月","火","水","木","金","土","日"))</f>
        <v/>
      </c>
      <c r="O478" s="5" t="str">
        <f aca="false">IF(B478="","",IF(HOUR(B478)&lt;6,"深夜(0-5時)",IF(HOUR(B478)&lt;11,"朝(6-10時)",IF(HOUR(B478)&lt;15,"昼(11-14時)",IF(HOUR(B478)&lt;19,"夕方(15-18時)","夜(19-23時)")))))</f>
        <v/>
      </c>
      <c r="P478" s="32" t="str">
        <f aca="false">IF(M478="","",M478+ROW()/1000000000)</f>
        <v/>
      </c>
    </row>
    <row r="479" customFormat="false" ht="15" hidden="false" customHeight="false" outlineLevel="0" collapsed="false">
      <c r="A479" s="25"/>
      <c r="B479" s="26"/>
      <c r="C479" s="27"/>
      <c r="D479" s="28"/>
      <c r="E479" s="28"/>
      <c r="F479" s="29"/>
      <c r="G479" s="29"/>
      <c r="H479" s="29"/>
      <c r="I479" s="29"/>
      <c r="J479" s="29"/>
      <c r="K479" s="29"/>
      <c r="L479" s="30" t="str">
        <f aca="false">IF(A479="","",SUM(G479:K479))</f>
        <v/>
      </c>
      <c r="M479" s="31" t="str">
        <f aca="false">IF(A479="","",IF(F479=0,0,L479/F479))</f>
        <v/>
      </c>
      <c r="N479" s="5" t="str">
        <f aca="false">IF(A479="","",CHOOSE(WEEKDAY(A479,2),"月","火","水","木","金","土","日"))</f>
        <v/>
      </c>
      <c r="O479" s="5" t="str">
        <f aca="false">IF(B479="","",IF(HOUR(B479)&lt;6,"深夜(0-5時)",IF(HOUR(B479)&lt;11,"朝(6-10時)",IF(HOUR(B479)&lt;15,"昼(11-14時)",IF(HOUR(B479)&lt;19,"夕方(15-18時)","夜(19-23時)")))))</f>
        <v/>
      </c>
      <c r="P479" s="32" t="str">
        <f aca="false">IF(M479="","",M479+ROW()/1000000000)</f>
        <v/>
      </c>
    </row>
    <row r="480" customFormat="false" ht="15" hidden="false" customHeight="false" outlineLevel="0" collapsed="false">
      <c r="A480" s="25"/>
      <c r="B480" s="26"/>
      <c r="C480" s="27"/>
      <c r="D480" s="28"/>
      <c r="E480" s="28"/>
      <c r="F480" s="29"/>
      <c r="G480" s="29"/>
      <c r="H480" s="29"/>
      <c r="I480" s="29"/>
      <c r="J480" s="29"/>
      <c r="K480" s="29"/>
      <c r="L480" s="30" t="str">
        <f aca="false">IF(A480="","",SUM(G480:K480))</f>
        <v/>
      </c>
      <c r="M480" s="31" t="str">
        <f aca="false">IF(A480="","",IF(F480=0,0,L480/F480))</f>
        <v/>
      </c>
      <c r="N480" s="5" t="str">
        <f aca="false">IF(A480="","",CHOOSE(WEEKDAY(A480,2),"月","火","水","木","金","土","日"))</f>
        <v/>
      </c>
      <c r="O480" s="5" t="str">
        <f aca="false">IF(B480="","",IF(HOUR(B480)&lt;6,"深夜(0-5時)",IF(HOUR(B480)&lt;11,"朝(6-10時)",IF(HOUR(B480)&lt;15,"昼(11-14時)",IF(HOUR(B480)&lt;19,"夕方(15-18時)","夜(19-23時)")))))</f>
        <v/>
      </c>
      <c r="P480" s="32" t="str">
        <f aca="false">IF(M480="","",M480+ROW()/1000000000)</f>
        <v/>
      </c>
    </row>
    <row r="481" customFormat="false" ht="15" hidden="false" customHeight="false" outlineLevel="0" collapsed="false">
      <c r="A481" s="25"/>
      <c r="B481" s="26"/>
      <c r="C481" s="27"/>
      <c r="D481" s="28"/>
      <c r="E481" s="28"/>
      <c r="F481" s="29"/>
      <c r="G481" s="29"/>
      <c r="H481" s="29"/>
      <c r="I481" s="29"/>
      <c r="J481" s="29"/>
      <c r="K481" s="29"/>
      <c r="L481" s="30" t="str">
        <f aca="false">IF(A481="","",SUM(G481:K481))</f>
        <v/>
      </c>
      <c r="M481" s="31" t="str">
        <f aca="false">IF(A481="","",IF(F481=0,0,L481/F481))</f>
        <v/>
      </c>
      <c r="N481" s="5" t="str">
        <f aca="false">IF(A481="","",CHOOSE(WEEKDAY(A481,2),"月","火","水","木","金","土","日"))</f>
        <v/>
      </c>
      <c r="O481" s="5" t="str">
        <f aca="false">IF(B481="","",IF(HOUR(B481)&lt;6,"深夜(0-5時)",IF(HOUR(B481)&lt;11,"朝(6-10時)",IF(HOUR(B481)&lt;15,"昼(11-14時)",IF(HOUR(B481)&lt;19,"夕方(15-18時)","夜(19-23時)")))))</f>
        <v/>
      </c>
      <c r="P481" s="32" t="str">
        <f aca="false">IF(M481="","",M481+ROW()/1000000000)</f>
        <v/>
      </c>
    </row>
    <row r="482" customFormat="false" ht="15" hidden="false" customHeight="false" outlineLevel="0" collapsed="false">
      <c r="A482" s="25"/>
      <c r="B482" s="26"/>
      <c r="C482" s="27"/>
      <c r="D482" s="28"/>
      <c r="E482" s="28"/>
      <c r="F482" s="29"/>
      <c r="G482" s="29"/>
      <c r="H482" s="29"/>
      <c r="I482" s="29"/>
      <c r="J482" s="29"/>
      <c r="K482" s="29"/>
      <c r="L482" s="30" t="str">
        <f aca="false">IF(A482="","",SUM(G482:K482))</f>
        <v/>
      </c>
      <c r="M482" s="31" t="str">
        <f aca="false">IF(A482="","",IF(F482=0,0,L482/F482))</f>
        <v/>
      </c>
      <c r="N482" s="5" t="str">
        <f aca="false">IF(A482="","",CHOOSE(WEEKDAY(A482,2),"月","火","水","木","金","土","日"))</f>
        <v/>
      </c>
      <c r="O482" s="5" t="str">
        <f aca="false">IF(B482="","",IF(HOUR(B482)&lt;6,"深夜(0-5時)",IF(HOUR(B482)&lt;11,"朝(6-10時)",IF(HOUR(B482)&lt;15,"昼(11-14時)",IF(HOUR(B482)&lt;19,"夕方(15-18時)","夜(19-23時)")))))</f>
        <v/>
      </c>
      <c r="P482" s="32" t="str">
        <f aca="false">IF(M482="","",M482+ROW()/1000000000)</f>
        <v/>
      </c>
    </row>
    <row r="483" customFormat="false" ht="15" hidden="false" customHeight="false" outlineLevel="0" collapsed="false">
      <c r="A483" s="25"/>
      <c r="B483" s="26"/>
      <c r="C483" s="27"/>
      <c r="D483" s="28"/>
      <c r="E483" s="28"/>
      <c r="F483" s="29"/>
      <c r="G483" s="29"/>
      <c r="H483" s="29"/>
      <c r="I483" s="29"/>
      <c r="J483" s="29"/>
      <c r="K483" s="29"/>
      <c r="L483" s="30" t="str">
        <f aca="false">IF(A483="","",SUM(G483:K483))</f>
        <v/>
      </c>
      <c r="M483" s="31" t="str">
        <f aca="false">IF(A483="","",IF(F483=0,0,L483/F483))</f>
        <v/>
      </c>
      <c r="N483" s="5" t="str">
        <f aca="false">IF(A483="","",CHOOSE(WEEKDAY(A483,2),"月","火","水","木","金","土","日"))</f>
        <v/>
      </c>
      <c r="O483" s="5" t="str">
        <f aca="false">IF(B483="","",IF(HOUR(B483)&lt;6,"深夜(0-5時)",IF(HOUR(B483)&lt;11,"朝(6-10時)",IF(HOUR(B483)&lt;15,"昼(11-14時)",IF(HOUR(B483)&lt;19,"夕方(15-18時)","夜(19-23時)")))))</f>
        <v/>
      </c>
      <c r="P483" s="32" t="str">
        <f aca="false">IF(M483="","",M483+ROW()/1000000000)</f>
        <v/>
      </c>
    </row>
    <row r="484" customFormat="false" ht="15" hidden="false" customHeight="false" outlineLevel="0" collapsed="false">
      <c r="A484" s="25"/>
      <c r="B484" s="26"/>
      <c r="C484" s="27"/>
      <c r="D484" s="28"/>
      <c r="E484" s="28"/>
      <c r="F484" s="29"/>
      <c r="G484" s="29"/>
      <c r="H484" s="29"/>
      <c r="I484" s="29"/>
      <c r="J484" s="29"/>
      <c r="K484" s="29"/>
      <c r="L484" s="30" t="str">
        <f aca="false">IF(A484="","",SUM(G484:K484))</f>
        <v/>
      </c>
      <c r="M484" s="31" t="str">
        <f aca="false">IF(A484="","",IF(F484=0,0,L484/F484))</f>
        <v/>
      </c>
      <c r="N484" s="5" t="str">
        <f aca="false">IF(A484="","",CHOOSE(WEEKDAY(A484,2),"月","火","水","木","金","土","日"))</f>
        <v/>
      </c>
      <c r="O484" s="5" t="str">
        <f aca="false">IF(B484="","",IF(HOUR(B484)&lt;6,"深夜(0-5時)",IF(HOUR(B484)&lt;11,"朝(6-10時)",IF(HOUR(B484)&lt;15,"昼(11-14時)",IF(HOUR(B484)&lt;19,"夕方(15-18時)","夜(19-23時)")))))</f>
        <v/>
      </c>
      <c r="P484" s="32" t="str">
        <f aca="false">IF(M484="","",M484+ROW()/1000000000)</f>
        <v/>
      </c>
    </row>
    <row r="485" customFormat="false" ht="15" hidden="false" customHeight="false" outlineLevel="0" collapsed="false">
      <c r="A485" s="25"/>
      <c r="B485" s="26"/>
      <c r="C485" s="27"/>
      <c r="D485" s="28"/>
      <c r="E485" s="28"/>
      <c r="F485" s="29"/>
      <c r="G485" s="29"/>
      <c r="H485" s="29"/>
      <c r="I485" s="29"/>
      <c r="J485" s="29"/>
      <c r="K485" s="29"/>
      <c r="L485" s="30" t="str">
        <f aca="false">IF(A485="","",SUM(G485:K485))</f>
        <v/>
      </c>
      <c r="M485" s="31" t="str">
        <f aca="false">IF(A485="","",IF(F485=0,0,L485/F485))</f>
        <v/>
      </c>
      <c r="N485" s="5" t="str">
        <f aca="false">IF(A485="","",CHOOSE(WEEKDAY(A485,2),"月","火","水","木","金","土","日"))</f>
        <v/>
      </c>
      <c r="O485" s="5" t="str">
        <f aca="false">IF(B485="","",IF(HOUR(B485)&lt;6,"深夜(0-5時)",IF(HOUR(B485)&lt;11,"朝(6-10時)",IF(HOUR(B485)&lt;15,"昼(11-14時)",IF(HOUR(B485)&lt;19,"夕方(15-18時)","夜(19-23時)")))))</f>
        <v/>
      </c>
      <c r="P485" s="32" t="str">
        <f aca="false">IF(M485="","",M485+ROW()/1000000000)</f>
        <v/>
      </c>
    </row>
    <row r="486" customFormat="false" ht="15" hidden="false" customHeight="false" outlineLevel="0" collapsed="false">
      <c r="A486" s="25"/>
      <c r="B486" s="26"/>
      <c r="C486" s="27"/>
      <c r="D486" s="28"/>
      <c r="E486" s="28"/>
      <c r="F486" s="29"/>
      <c r="G486" s="29"/>
      <c r="H486" s="29"/>
      <c r="I486" s="29"/>
      <c r="J486" s="29"/>
      <c r="K486" s="29"/>
      <c r="L486" s="30" t="str">
        <f aca="false">IF(A486="","",SUM(G486:K486))</f>
        <v/>
      </c>
      <c r="M486" s="31" t="str">
        <f aca="false">IF(A486="","",IF(F486=0,0,L486/F486))</f>
        <v/>
      </c>
      <c r="N486" s="5" t="str">
        <f aca="false">IF(A486="","",CHOOSE(WEEKDAY(A486,2),"月","火","水","木","金","土","日"))</f>
        <v/>
      </c>
      <c r="O486" s="5" t="str">
        <f aca="false">IF(B486="","",IF(HOUR(B486)&lt;6,"深夜(0-5時)",IF(HOUR(B486)&lt;11,"朝(6-10時)",IF(HOUR(B486)&lt;15,"昼(11-14時)",IF(HOUR(B486)&lt;19,"夕方(15-18時)","夜(19-23時)")))))</f>
        <v/>
      </c>
      <c r="P486" s="32" t="str">
        <f aca="false">IF(M486="","",M486+ROW()/1000000000)</f>
        <v/>
      </c>
    </row>
    <row r="487" customFormat="false" ht="15" hidden="false" customHeight="false" outlineLevel="0" collapsed="false">
      <c r="A487" s="25"/>
      <c r="B487" s="26"/>
      <c r="C487" s="27"/>
      <c r="D487" s="28"/>
      <c r="E487" s="28"/>
      <c r="F487" s="29"/>
      <c r="G487" s="29"/>
      <c r="H487" s="29"/>
      <c r="I487" s="29"/>
      <c r="J487" s="29"/>
      <c r="K487" s="29"/>
      <c r="L487" s="30" t="str">
        <f aca="false">IF(A487="","",SUM(G487:K487))</f>
        <v/>
      </c>
      <c r="M487" s="31" t="str">
        <f aca="false">IF(A487="","",IF(F487=0,0,L487/F487))</f>
        <v/>
      </c>
      <c r="N487" s="5" t="str">
        <f aca="false">IF(A487="","",CHOOSE(WEEKDAY(A487,2),"月","火","水","木","金","土","日"))</f>
        <v/>
      </c>
      <c r="O487" s="5" t="str">
        <f aca="false">IF(B487="","",IF(HOUR(B487)&lt;6,"深夜(0-5時)",IF(HOUR(B487)&lt;11,"朝(6-10時)",IF(HOUR(B487)&lt;15,"昼(11-14時)",IF(HOUR(B487)&lt;19,"夕方(15-18時)","夜(19-23時)")))))</f>
        <v/>
      </c>
      <c r="P487" s="32" t="str">
        <f aca="false">IF(M487="","",M487+ROW()/1000000000)</f>
        <v/>
      </c>
    </row>
    <row r="488" customFormat="false" ht="15" hidden="false" customHeight="false" outlineLevel="0" collapsed="false">
      <c r="A488" s="25"/>
      <c r="B488" s="26"/>
      <c r="C488" s="27"/>
      <c r="D488" s="28"/>
      <c r="E488" s="28"/>
      <c r="F488" s="29"/>
      <c r="G488" s="29"/>
      <c r="H488" s="29"/>
      <c r="I488" s="29"/>
      <c r="J488" s="29"/>
      <c r="K488" s="29"/>
      <c r="L488" s="30" t="str">
        <f aca="false">IF(A488="","",SUM(G488:K488))</f>
        <v/>
      </c>
      <c r="M488" s="31" t="str">
        <f aca="false">IF(A488="","",IF(F488=0,0,L488/F488))</f>
        <v/>
      </c>
      <c r="N488" s="5" t="str">
        <f aca="false">IF(A488="","",CHOOSE(WEEKDAY(A488,2),"月","火","水","木","金","土","日"))</f>
        <v/>
      </c>
      <c r="O488" s="5" t="str">
        <f aca="false">IF(B488="","",IF(HOUR(B488)&lt;6,"深夜(0-5時)",IF(HOUR(B488)&lt;11,"朝(6-10時)",IF(HOUR(B488)&lt;15,"昼(11-14時)",IF(HOUR(B488)&lt;19,"夕方(15-18時)","夜(19-23時)")))))</f>
        <v/>
      </c>
      <c r="P488" s="32" t="str">
        <f aca="false">IF(M488="","",M488+ROW()/1000000000)</f>
        <v/>
      </c>
    </row>
    <row r="489" customFormat="false" ht="15" hidden="false" customHeight="false" outlineLevel="0" collapsed="false">
      <c r="A489" s="25"/>
      <c r="B489" s="26"/>
      <c r="C489" s="27"/>
      <c r="D489" s="28"/>
      <c r="E489" s="28"/>
      <c r="F489" s="29"/>
      <c r="G489" s="29"/>
      <c r="H489" s="29"/>
      <c r="I489" s="29"/>
      <c r="J489" s="29"/>
      <c r="K489" s="29"/>
      <c r="L489" s="30" t="str">
        <f aca="false">IF(A489="","",SUM(G489:K489))</f>
        <v/>
      </c>
      <c r="M489" s="31" t="str">
        <f aca="false">IF(A489="","",IF(F489=0,0,L489/F489))</f>
        <v/>
      </c>
      <c r="N489" s="5" t="str">
        <f aca="false">IF(A489="","",CHOOSE(WEEKDAY(A489,2),"月","火","水","木","金","土","日"))</f>
        <v/>
      </c>
      <c r="O489" s="5" t="str">
        <f aca="false">IF(B489="","",IF(HOUR(B489)&lt;6,"深夜(0-5時)",IF(HOUR(B489)&lt;11,"朝(6-10時)",IF(HOUR(B489)&lt;15,"昼(11-14時)",IF(HOUR(B489)&lt;19,"夕方(15-18時)","夜(19-23時)")))))</f>
        <v/>
      </c>
      <c r="P489" s="32" t="str">
        <f aca="false">IF(M489="","",M489+ROW()/1000000000)</f>
        <v/>
      </c>
    </row>
    <row r="490" customFormat="false" ht="15" hidden="false" customHeight="false" outlineLevel="0" collapsed="false">
      <c r="A490" s="25"/>
      <c r="B490" s="26"/>
      <c r="C490" s="27"/>
      <c r="D490" s="28"/>
      <c r="E490" s="28"/>
      <c r="F490" s="29"/>
      <c r="G490" s="29"/>
      <c r="H490" s="29"/>
      <c r="I490" s="29"/>
      <c r="J490" s="29"/>
      <c r="K490" s="29"/>
      <c r="L490" s="30" t="str">
        <f aca="false">IF(A490="","",SUM(G490:K490))</f>
        <v/>
      </c>
      <c r="M490" s="31" t="str">
        <f aca="false">IF(A490="","",IF(F490=0,0,L490/F490))</f>
        <v/>
      </c>
      <c r="N490" s="5" t="str">
        <f aca="false">IF(A490="","",CHOOSE(WEEKDAY(A490,2),"月","火","水","木","金","土","日"))</f>
        <v/>
      </c>
      <c r="O490" s="5" t="str">
        <f aca="false">IF(B490="","",IF(HOUR(B490)&lt;6,"深夜(0-5時)",IF(HOUR(B490)&lt;11,"朝(6-10時)",IF(HOUR(B490)&lt;15,"昼(11-14時)",IF(HOUR(B490)&lt;19,"夕方(15-18時)","夜(19-23時)")))))</f>
        <v/>
      </c>
      <c r="P490" s="32" t="str">
        <f aca="false">IF(M490="","",M490+ROW()/1000000000)</f>
        <v/>
      </c>
    </row>
    <row r="491" customFormat="false" ht="15" hidden="false" customHeight="false" outlineLevel="0" collapsed="false">
      <c r="A491" s="25"/>
      <c r="B491" s="26"/>
      <c r="C491" s="27"/>
      <c r="D491" s="28"/>
      <c r="E491" s="28"/>
      <c r="F491" s="29"/>
      <c r="G491" s="29"/>
      <c r="H491" s="29"/>
      <c r="I491" s="29"/>
      <c r="J491" s="29"/>
      <c r="K491" s="29"/>
      <c r="L491" s="30" t="str">
        <f aca="false">IF(A491="","",SUM(G491:K491))</f>
        <v/>
      </c>
      <c r="M491" s="31" t="str">
        <f aca="false">IF(A491="","",IF(F491=0,0,L491/F491))</f>
        <v/>
      </c>
      <c r="N491" s="5" t="str">
        <f aca="false">IF(A491="","",CHOOSE(WEEKDAY(A491,2),"月","火","水","木","金","土","日"))</f>
        <v/>
      </c>
      <c r="O491" s="5" t="str">
        <f aca="false">IF(B491="","",IF(HOUR(B491)&lt;6,"深夜(0-5時)",IF(HOUR(B491)&lt;11,"朝(6-10時)",IF(HOUR(B491)&lt;15,"昼(11-14時)",IF(HOUR(B491)&lt;19,"夕方(15-18時)","夜(19-23時)")))))</f>
        <v/>
      </c>
      <c r="P491" s="32" t="str">
        <f aca="false">IF(M491="","",M491+ROW()/1000000000)</f>
        <v/>
      </c>
    </row>
    <row r="492" customFormat="false" ht="15" hidden="false" customHeight="false" outlineLevel="0" collapsed="false">
      <c r="A492" s="25"/>
      <c r="B492" s="26"/>
      <c r="C492" s="27"/>
      <c r="D492" s="28"/>
      <c r="E492" s="28"/>
      <c r="F492" s="29"/>
      <c r="G492" s="29"/>
      <c r="H492" s="29"/>
      <c r="I492" s="29"/>
      <c r="J492" s="29"/>
      <c r="K492" s="29"/>
      <c r="L492" s="30" t="str">
        <f aca="false">IF(A492="","",SUM(G492:K492))</f>
        <v/>
      </c>
      <c r="M492" s="31" t="str">
        <f aca="false">IF(A492="","",IF(F492=0,0,L492/F492))</f>
        <v/>
      </c>
      <c r="N492" s="5" t="str">
        <f aca="false">IF(A492="","",CHOOSE(WEEKDAY(A492,2),"月","火","水","木","金","土","日"))</f>
        <v/>
      </c>
      <c r="O492" s="5" t="str">
        <f aca="false">IF(B492="","",IF(HOUR(B492)&lt;6,"深夜(0-5時)",IF(HOUR(B492)&lt;11,"朝(6-10時)",IF(HOUR(B492)&lt;15,"昼(11-14時)",IF(HOUR(B492)&lt;19,"夕方(15-18時)","夜(19-23時)")))))</f>
        <v/>
      </c>
      <c r="P492" s="32" t="str">
        <f aca="false">IF(M492="","",M492+ROW()/1000000000)</f>
        <v/>
      </c>
    </row>
    <row r="493" customFormat="false" ht="15" hidden="false" customHeight="false" outlineLevel="0" collapsed="false">
      <c r="A493" s="25"/>
      <c r="B493" s="26"/>
      <c r="C493" s="27"/>
      <c r="D493" s="28"/>
      <c r="E493" s="28"/>
      <c r="F493" s="29"/>
      <c r="G493" s="29"/>
      <c r="H493" s="29"/>
      <c r="I493" s="29"/>
      <c r="J493" s="29"/>
      <c r="K493" s="29"/>
      <c r="L493" s="30" t="str">
        <f aca="false">IF(A493="","",SUM(G493:K493))</f>
        <v/>
      </c>
      <c r="M493" s="31" t="str">
        <f aca="false">IF(A493="","",IF(F493=0,0,L493/F493))</f>
        <v/>
      </c>
      <c r="N493" s="5" t="str">
        <f aca="false">IF(A493="","",CHOOSE(WEEKDAY(A493,2),"月","火","水","木","金","土","日"))</f>
        <v/>
      </c>
      <c r="O493" s="5" t="str">
        <f aca="false">IF(B493="","",IF(HOUR(B493)&lt;6,"深夜(0-5時)",IF(HOUR(B493)&lt;11,"朝(6-10時)",IF(HOUR(B493)&lt;15,"昼(11-14時)",IF(HOUR(B493)&lt;19,"夕方(15-18時)","夜(19-23時)")))))</f>
        <v/>
      </c>
      <c r="P493" s="32" t="str">
        <f aca="false">IF(M493="","",M493+ROW()/1000000000)</f>
        <v/>
      </c>
    </row>
    <row r="494" customFormat="false" ht="15" hidden="false" customHeight="false" outlineLevel="0" collapsed="false">
      <c r="A494" s="25"/>
      <c r="B494" s="26"/>
      <c r="C494" s="27"/>
      <c r="D494" s="28"/>
      <c r="E494" s="28"/>
      <c r="F494" s="29"/>
      <c r="G494" s="29"/>
      <c r="H494" s="29"/>
      <c r="I494" s="29"/>
      <c r="J494" s="29"/>
      <c r="K494" s="29"/>
      <c r="L494" s="30" t="str">
        <f aca="false">IF(A494="","",SUM(G494:K494))</f>
        <v/>
      </c>
      <c r="M494" s="31" t="str">
        <f aca="false">IF(A494="","",IF(F494=0,0,L494/F494))</f>
        <v/>
      </c>
      <c r="N494" s="5" t="str">
        <f aca="false">IF(A494="","",CHOOSE(WEEKDAY(A494,2),"月","火","水","木","金","土","日"))</f>
        <v/>
      </c>
      <c r="O494" s="5" t="str">
        <f aca="false">IF(B494="","",IF(HOUR(B494)&lt;6,"深夜(0-5時)",IF(HOUR(B494)&lt;11,"朝(6-10時)",IF(HOUR(B494)&lt;15,"昼(11-14時)",IF(HOUR(B494)&lt;19,"夕方(15-18時)","夜(19-23時)")))))</f>
        <v/>
      </c>
      <c r="P494" s="32" t="str">
        <f aca="false">IF(M494="","",M494+ROW()/1000000000)</f>
        <v/>
      </c>
    </row>
    <row r="495" customFormat="false" ht="15" hidden="false" customHeight="false" outlineLevel="0" collapsed="false">
      <c r="A495" s="25"/>
      <c r="B495" s="26"/>
      <c r="C495" s="27"/>
      <c r="D495" s="28"/>
      <c r="E495" s="28"/>
      <c r="F495" s="29"/>
      <c r="G495" s="29"/>
      <c r="H495" s="29"/>
      <c r="I495" s="29"/>
      <c r="J495" s="29"/>
      <c r="K495" s="29"/>
      <c r="L495" s="30" t="str">
        <f aca="false">IF(A495="","",SUM(G495:K495))</f>
        <v/>
      </c>
      <c r="M495" s="31" t="str">
        <f aca="false">IF(A495="","",IF(F495=0,0,L495/F495))</f>
        <v/>
      </c>
      <c r="N495" s="5" t="str">
        <f aca="false">IF(A495="","",CHOOSE(WEEKDAY(A495,2),"月","火","水","木","金","土","日"))</f>
        <v/>
      </c>
      <c r="O495" s="5" t="str">
        <f aca="false">IF(B495="","",IF(HOUR(B495)&lt;6,"深夜(0-5時)",IF(HOUR(B495)&lt;11,"朝(6-10時)",IF(HOUR(B495)&lt;15,"昼(11-14時)",IF(HOUR(B495)&lt;19,"夕方(15-18時)","夜(19-23時)")))))</f>
        <v/>
      </c>
      <c r="P495" s="32" t="str">
        <f aca="false">IF(M495="","",M495+ROW()/1000000000)</f>
        <v/>
      </c>
    </row>
    <row r="496" customFormat="false" ht="15" hidden="false" customHeight="false" outlineLevel="0" collapsed="false">
      <c r="A496" s="25"/>
      <c r="B496" s="26"/>
      <c r="C496" s="27"/>
      <c r="D496" s="28"/>
      <c r="E496" s="28"/>
      <c r="F496" s="29"/>
      <c r="G496" s="29"/>
      <c r="H496" s="29"/>
      <c r="I496" s="29"/>
      <c r="J496" s="29"/>
      <c r="K496" s="29"/>
      <c r="L496" s="30" t="str">
        <f aca="false">IF(A496="","",SUM(G496:K496))</f>
        <v/>
      </c>
      <c r="M496" s="31" t="str">
        <f aca="false">IF(A496="","",IF(F496=0,0,L496/F496))</f>
        <v/>
      </c>
      <c r="N496" s="5" t="str">
        <f aca="false">IF(A496="","",CHOOSE(WEEKDAY(A496,2),"月","火","水","木","金","土","日"))</f>
        <v/>
      </c>
      <c r="O496" s="5" t="str">
        <f aca="false">IF(B496="","",IF(HOUR(B496)&lt;6,"深夜(0-5時)",IF(HOUR(B496)&lt;11,"朝(6-10時)",IF(HOUR(B496)&lt;15,"昼(11-14時)",IF(HOUR(B496)&lt;19,"夕方(15-18時)","夜(19-23時)")))))</f>
        <v/>
      </c>
      <c r="P496" s="32" t="str">
        <f aca="false">IF(M496="","",M496+ROW()/1000000000)</f>
        <v/>
      </c>
    </row>
    <row r="497" customFormat="false" ht="15" hidden="false" customHeight="false" outlineLevel="0" collapsed="false">
      <c r="A497" s="25"/>
      <c r="B497" s="26"/>
      <c r="C497" s="27"/>
      <c r="D497" s="28"/>
      <c r="E497" s="28"/>
      <c r="F497" s="29"/>
      <c r="G497" s="29"/>
      <c r="H497" s="29"/>
      <c r="I497" s="29"/>
      <c r="J497" s="29"/>
      <c r="K497" s="29"/>
      <c r="L497" s="30" t="str">
        <f aca="false">IF(A497="","",SUM(G497:K497))</f>
        <v/>
      </c>
      <c r="M497" s="31" t="str">
        <f aca="false">IF(A497="","",IF(F497=0,0,L497/F497))</f>
        <v/>
      </c>
      <c r="N497" s="5" t="str">
        <f aca="false">IF(A497="","",CHOOSE(WEEKDAY(A497,2),"月","火","水","木","金","土","日"))</f>
        <v/>
      </c>
      <c r="O497" s="5" t="str">
        <f aca="false">IF(B497="","",IF(HOUR(B497)&lt;6,"深夜(0-5時)",IF(HOUR(B497)&lt;11,"朝(6-10時)",IF(HOUR(B497)&lt;15,"昼(11-14時)",IF(HOUR(B497)&lt;19,"夕方(15-18時)","夜(19-23時)")))))</f>
        <v/>
      </c>
      <c r="P497" s="32" t="str">
        <f aca="false">IF(M497="","",M497+ROW()/1000000000)</f>
        <v/>
      </c>
    </row>
    <row r="498" customFormat="false" ht="15" hidden="false" customHeight="false" outlineLevel="0" collapsed="false">
      <c r="A498" s="25"/>
      <c r="B498" s="26"/>
      <c r="C498" s="27"/>
      <c r="D498" s="28"/>
      <c r="E498" s="28"/>
      <c r="F498" s="29"/>
      <c r="G498" s="29"/>
      <c r="H498" s="29"/>
      <c r="I498" s="29"/>
      <c r="J498" s="29"/>
      <c r="K498" s="29"/>
      <c r="L498" s="30" t="str">
        <f aca="false">IF(A498="","",SUM(G498:K498))</f>
        <v/>
      </c>
      <c r="M498" s="31" t="str">
        <f aca="false">IF(A498="","",IF(F498=0,0,L498/F498))</f>
        <v/>
      </c>
      <c r="N498" s="5" t="str">
        <f aca="false">IF(A498="","",CHOOSE(WEEKDAY(A498,2),"月","火","水","木","金","土","日"))</f>
        <v/>
      </c>
      <c r="O498" s="5" t="str">
        <f aca="false">IF(B498="","",IF(HOUR(B498)&lt;6,"深夜(0-5時)",IF(HOUR(B498)&lt;11,"朝(6-10時)",IF(HOUR(B498)&lt;15,"昼(11-14時)",IF(HOUR(B498)&lt;19,"夕方(15-18時)","夜(19-23時)")))))</f>
        <v/>
      </c>
      <c r="P498" s="32" t="str">
        <f aca="false">IF(M498="","",M498+ROW()/1000000000)</f>
        <v/>
      </c>
    </row>
    <row r="499" customFormat="false" ht="15" hidden="false" customHeight="false" outlineLevel="0" collapsed="false">
      <c r="A499" s="25"/>
      <c r="B499" s="26"/>
      <c r="C499" s="27"/>
      <c r="D499" s="28"/>
      <c r="E499" s="28"/>
      <c r="F499" s="29"/>
      <c r="G499" s="29"/>
      <c r="H499" s="29"/>
      <c r="I499" s="29"/>
      <c r="J499" s="29"/>
      <c r="K499" s="29"/>
      <c r="L499" s="30" t="str">
        <f aca="false">IF(A499="","",SUM(G499:K499))</f>
        <v/>
      </c>
      <c r="M499" s="31" t="str">
        <f aca="false">IF(A499="","",IF(F499=0,0,L499/F499))</f>
        <v/>
      </c>
      <c r="N499" s="5" t="str">
        <f aca="false">IF(A499="","",CHOOSE(WEEKDAY(A499,2),"月","火","水","木","金","土","日"))</f>
        <v/>
      </c>
      <c r="O499" s="5" t="str">
        <f aca="false">IF(B499="","",IF(HOUR(B499)&lt;6,"深夜(0-5時)",IF(HOUR(B499)&lt;11,"朝(6-10時)",IF(HOUR(B499)&lt;15,"昼(11-14時)",IF(HOUR(B499)&lt;19,"夕方(15-18時)","夜(19-23時)")))))</f>
        <v/>
      </c>
      <c r="P499" s="32" t="str">
        <f aca="false">IF(M499="","",M499+ROW()/1000000000)</f>
        <v/>
      </c>
    </row>
    <row r="500" customFormat="false" ht="15" hidden="false" customHeight="false" outlineLevel="0" collapsed="false">
      <c r="A500" s="25"/>
      <c r="B500" s="26"/>
      <c r="C500" s="27"/>
      <c r="D500" s="28"/>
      <c r="E500" s="28"/>
      <c r="F500" s="29"/>
      <c r="G500" s="29"/>
      <c r="H500" s="29"/>
      <c r="I500" s="29"/>
      <c r="J500" s="29"/>
      <c r="K500" s="29"/>
      <c r="L500" s="30" t="str">
        <f aca="false">IF(A500="","",SUM(G500:K500))</f>
        <v/>
      </c>
      <c r="M500" s="31" t="str">
        <f aca="false">IF(A500="","",IF(F500=0,0,L500/F500))</f>
        <v/>
      </c>
      <c r="N500" s="5" t="str">
        <f aca="false">IF(A500="","",CHOOSE(WEEKDAY(A500,2),"月","火","水","木","金","土","日"))</f>
        <v/>
      </c>
      <c r="O500" s="5" t="str">
        <f aca="false">IF(B500="","",IF(HOUR(B500)&lt;6,"深夜(0-5時)",IF(HOUR(B500)&lt;11,"朝(6-10時)",IF(HOUR(B500)&lt;15,"昼(11-14時)",IF(HOUR(B500)&lt;19,"夕方(15-18時)","夜(19-23時)")))))</f>
        <v/>
      </c>
      <c r="P500" s="32" t="str">
        <f aca="false">IF(M500="","",M500+ROW()/1000000000)</f>
        <v/>
      </c>
    </row>
  </sheetData>
  <autoFilter ref="A1:P500"/>
  <conditionalFormatting sqref="M2:M500">
    <cfRule type="dataBar" priority="2">
      <dataBar showValue="1" minLength="10" maxLength="90">
        <cfvo type="min" val="0"/>
        <cfvo type="max" val="0"/>
        <color rgb="FF5B9BD5"/>
      </dataBar>
      <extLst>
        <ext xmlns:x14="http://schemas.microsoft.com/office/spreadsheetml/2009/9/main" uri="{B025F937-C7B1-47D3-B67F-A62EFF666E3E}">
          <x14:id>{6938682E-8F6A-444D-B9C4-78E274B5E046}</x14:id>
        </ext>
      </extLst>
    </cfRule>
  </conditionalFormatting>
  <dataValidations count="2">
    <dataValidation allowBlank="true" errorStyle="stop" operator="between" showDropDown="false" showErrorMessage="false" showInputMessage="false" sqref="C2:C500" type="list">
      <formula1>"X,Threads"</formula1>
      <formula2>0</formula2>
    </dataValidation>
    <dataValidation allowBlank="true" errorStyle="stop" operator="between" showDropDown="false" showErrorMessage="false" showInputMessage="false" sqref="D2:D500" type="list">
      <formula1>"テキスト,画像,動画,リンク"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938682E-8F6A-444D-B9C4-78E274B5E046}">
            <x14:dataBar minLength="10" maxLength="90" axisPosition="none" gradient="true">
              <x14:cfvo type="min"/>
              <x14:cfvo type="max"/>
              <x14:negativeFillColor rgb="FF5B9BD5"/>
              <x14:axisColor rgb="FF000000"/>
            </x14:dataBar>
          </x14:cfRule>
          <xm:sqref>M2:M500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7" t="s">
        <v>87</v>
      </c>
      <c r="B1" s="8" t="s">
        <v>88</v>
      </c>
      <c r="C1" s="8" t="s">
        <v>89</v>
      </c>
      <c r="D1" s="8" t="s">
        <v>90</v>
      </c>
      <c r="E1" s="8" t="s">
        <v>91</v>
      </c>
    </row>
    <row r="2" customFormat="false" ht="15" hidden="false" customHeight="false" outlineLevel="0" collapsed="false">
      <c r="A2" s="25" t="n">
        <v>46201</v>
      </c>
      <c r="B2" s="29" t="n">
        <v>3200</v>
      </c>
      <c r="C2" s="29" t="n">
        <v>850</v>
      </c>
      <c r="D2" s="33" t="s">
        <v>92</v>
      </c>
      <c r="E2" s="33" t="s">
        <v>92</v>
      </c>
    </row>
    <row r="3" customFormat="false" ht="15" hidden="false" customHeight="false" outlineLevel="0" collapsed="false">
      <c r="A3" s="25" t="n">
        <v>46208</v>
      </c>
      <c r="B3" s="29" t="n">
        <v>3264</v>
      </c>
      <c r="C3" s="29" t="n">
        <v>934</v>
      </c>
      <c r="D3" s="33" t="n">
        <f aca="false">B3-B2</f>
        <v>64</v>
      </c>
      <c r="E3" s="33" t="n">
        <f aca="false">C3-C2</f>
        <v>84</v>
      </c>
    </row>
    <row r="4" customFormat="false" ht="15" hidden="false" customHeight="false" outlineLevel="0" collapsed="false">
      <c r="A4" s="25" t="n">
        <v>46215</v>
      </c>
      <c r="B4" s="29" t="n">
        <v>3370</v>
      </c>
      <c r="C4" s="29" t="n">
        <v>1006</v>
      </c>
      <c r="D4" s="33" t="n">
        <f aca="false">B4-B3</f>
        <v>106</v>
      </c>
      <c r="E4" s="33" t="n">
        <f aca="false">C4-C3</f>
        <v>72</v>
      </c>
    </row>
    <row r="5" customFormat="false" ht="15" hidden="false" customHeight="false" outlineLevel="0" collapsed="false">
      <c r="A5" s="25" t="n">
        <v>46222</v>
      </c>
      <c r="B5" s="29" t="n">
        <v>3461</v>
      </c>
      <c r="C5" s="29" t="n">
        <v>1044</v>
      </c>
      <c r="D5" s="33" t="n">
        <f aca="false">B5-B4</f>
        <v>91</v>
      </c>
      <c r="E5" s="33" t="n">
        <f aca="false">C5-C4</f>
        <v>38</v>
      </c>
    </row>
    <row r="6" customFormat="false" ht="15" hidden="false" customHeight="false" outlineLevel="0" collapsed="false">
      <c r="A6" s="25" t="n">
        <v>46229</v>
      </c>
      <c r="B6" s="29" t="n">
        <v>3523</v>
      </c>
      <c r="C6" s="29" t="n">
        <v>1080</v>
      </c>
      <c r="D6" s="33" t="n">
        <f aca="false">B6-B5</f>
        <v>62</v>
      </c>
      <c r="E6" s="33" t="n">
        <f aca="false">C6-C5</f>
        <v>36</v>
      </c>
    </row>
    <row r="7" customFormat="false" ht="15" hidden="false" customHeight="false" outlineLevel="0" collapsed="false">
      <c r="A7" s="25" t="n">
        <v>46236</v>
      </c>
      <c r="B7" s="29" t="n">
        <v>3625</v>
      </c>
      <c r="C7" s="29" t="n">
        <v>1150</v>
      </c>
      <c r="D7" s="33" t="n">
        <f aca="false">B7-B6</f>
        <v>102</v>
      </c>
      <c r="E7" s="33" t="n">
        <f aca="false">C7-C6</f>
        <v>70</v>
      </c>
    </row>
    <row r="8" customFormat="false" ht="15" hidden="false" customHeight="false" outlineLevel="0" collapsed="false">
      <c r="A8" s="25" t="n">
        <v>46243</v>
      </c>
      <c r="B8" s="29" t="n">
        <v>3731</v>
      </c>
      <c r="C8" s="29" t="n">
        <v>1186</v>
      </c>
      <c r="D8" s="33" t="n">
        <f aca="false">B8-B7</f>
        <v>106</v>
      </c>
      <c r="E8" s="33" t="n">
        <f aca="false">C8-C7</f>
        <v>36</v>
      </c>
    </row>
    <row r="9" customFormat="false" ht="15" hidden="false" customHeight="false" outlineLevel="0" collapsed="false">
      <c r="A9" s="25" t="n">
        <v>46250</v>
      </c>
      <c r="B9" s="29" t="n">
        <v>3806</v>
      </c>
      <c r="C9" s="29" t="n">
        <v>1259</v>
      </c>
      <c r="D9" s="33" t="n">
        <f aca="false">B9-B8</f>
        <v>75</v>
      </c>
      <c r="E9" s="33" t="n">
        <f aca="false">C9-C8</f>
        <v>73</v>
      </c>
    </row>
    <row r="10" customFormat="false" ht="15" hidden="false" customHeight="false" outlineLevel="0" collapsed="false">
      <c r="A10" s="25" t="n">
        <v>46257</v>
      </c>
      <c r="B10" s="29" t="n">
        <v>3905</v>
      </c>
      <c r="C10" s="29" t="n">
        <v>1326</v>
      </c>
      <c r="D10" s="33" t="n">
        <f aca="false">B10-B9</f>
        <v>99</v>
      </c>
      <c r="E10" s="33" t="n">
        <f aca="false">C10-C9</f>
        <v>67</v>
      </c>
    </row>
    <row r="11" customFormat="false" ht="15" hidden="false" customHeight="false" outlineLevel="0" collapsed="false">
      <c r="A11" s="25" t="n">
        <v>46264</v>
      </c>
      <c r="B11" s="29" t="n">
        <v>3991</v>
      </c>
      <c r="C11" s="29" t="n">
        <v>1382</v>
      </c>
      <c r="D11" s="33" t="n">
        <f aca="false">B11-B10</f>
        <v>86</v>
      </c>
      <c r="E11" s="33" t="n">
        <f aca="false">C11-C10</f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2026-09-23T13:43:15Z</dcterms:created>
  <dc:creator>openpyxl</dc:creator>
  <dc:description/>
  <dc:language>en-US</dc:language>
  <cp:lastModifiedBy/>
  <dcterms:modified xsi:type="dcterms:W3CDTF">2026-09-23T13:43:17Z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